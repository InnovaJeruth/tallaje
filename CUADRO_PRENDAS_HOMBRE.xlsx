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odriguezt\Documents\SAMITEX\MI TALLA\CUADROS\FINAL\"/>
    </mc:Choice>
  </mc:AlternateContent>
  <xr:revisionPtr revIDLastSave="0" documentId="13_ncr:1_{27C829E9-F846-40FD-8B21-71D3D143C67C}" xr6:coauthVersionLast="47" xr6:coauthVersionMax="47" xr10:uidLastSave="{00000000-0000-0000-0000-000000000000}"/>
  <bookViews>
    <workbookView xWindow="-108" yWindow="-108" windowWidth="23256" windowHeight="13896" activeTab="3" xr2:uid="{5A2AD968-8C9C-438A-93B0-47A6D59088B2}"/>
  </bookViews>
  <sheets>
    <sheet name="SACO_C" sheetId="1" r:id="rId1"/>
    <sheet name="SACO_P" sheetId="2" r:id="rId2"/>
    <sheet name="PULLOVER_C" sheetId="7" r:id="rId3"/>
    <sheet name="PULLOVER_P" sheetId="8" r:id="rId4"/>
    <sheet name="PANTALON_C" sheetId="3" r:id="rId5"/>
    <sheet name="PANTALON_P" sheetId="4" r:id="rId6"/>
    <sheet name="CAMISA_C" sheetId="5" r:id="rId7"/>
    <sheet name="CAMISA_P" sheetId="6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2" l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G11" i="2"/>
  <c r="F11" i="2"/>
  <c r="E11" i="2" s="1"/>
  <c r="D11" i="2" s="1"/>
  <c r="C11" i="2" s="1"/>
  <c r="B11" i="2" s="1"/>
</calcChain>
</file>

<file path=xl/sharedStrings.xml><?xml version="1.0" encoding="utf-8"?>
<sst xmlns="http://schemas.openxmlformats.org/spreadsheetml/2006/main" count="366" uniqueCount="269">
  <si>
    <r>
      <rPr>
        <b/>
        <sz val="7"/>
        <rFont val="Times New Roman"/>
        <family val="1"/>
      </rPr>
      <t>2XS</t>
    </r>
  </si>
  <si>
    <r>
      <rPr>
        <b/>
        <sz val="7"/>
        <rFont val="Times New Roman"/>
        <family val="1"/>
      </rPr>
      <t>XS</t>
    </r>
  </si>
  <si>
    <r>
      <rPr>
        <b/>
        <sz val="7"/>
        <rFont val="Times New Roman"/>
        <family val="1"/>
      </rPr>
      <t>S</t>
    </r>
  </si>
  <si>
    <r>
      <rPr>
        <b/>
        <sz val="7"/>
        <rFont val="Times New Roman"/>
        <family val="1"/>
      </rPr>
      <t>M</t>
    </r>
  </si>
  <si>
    <r>
      <rPr>
        <b/>
        <sz val="7"/>
        <rFont val="Times New Roman"/>
        <family val="1"/>
      </rPr>
      <t>L</t>
    </r>
  </si>
  <si>
    <r>
      <rPr>
        <b/>
        <sz val="7"/>
        <rFont val="Times New Roman"/>
        <family val="1"/>
      </rPr>
      <t>XL</t>
    </r>
  </si>
  <si>
    <r>
      <rPr>
        <b/>
        <sz val="7"/>
        <rFont val="Times New Roman"/>
        <family val="1"/>
      </rPr>
      <t>2XL</t>
    </r>
  </si>
  <si>
    <r>
      <rPr>
        <b/>
        <sz val="7"/>
        <rFont val="Times New Roman"/>
        <family val="1"/>
      </rPr>
      <t>3XL</t>
    </r>
  </si>
  <si>
    <r>
      <rPr>
        <b/>
        <sz val="7"/>
        <rFont val="Times New Roman"/>
        <family val="1"/>
      </rPr>
      <t>4XL</t>
    </r>
  </si>
  <si>
    <r>
      <rPr>
        <b/>
        <sz val="7"/>
        <rFont val="Times New Roman"/>
        <family val="1"/>
      </rPr>
      <t>5XL</t>
    </r>
  </si>
  <si>
    <r>
      <rPr>
        <b/>
        <sz val="7"/>
        <rFont val="Times New Roman"/>
        <family val="1"/>
      </rPr>
      <t>6XL</t>
    </r>
  </si>
  <si>
    <r>
      <rPr>
        <b/>
        <sz val="7"/>
        <rFont val="Times New Roman"/>
        <family val="1"/>
      </rPr>
      <t>7XL</t>
    </r>
  </si>
  <si>
    <r>
      <rPr>
        <b/>
        <sz val="7"/>
        <rFont val="Times New Roman"/>
        <family val="1"/>
      </rPr>
      <t>8XL</t>
    </r>
  </si>
  <si>
    <r>
      <rPr>
        <b/>
        <sz val="7"/>
        <rFont val="Times New Roman"/>
        <family val="1"/>
      </rPr>
      <t>9XL</t>
    </r>
  </si>
  <si>
    <r>
      <rPr>
        <b/>
        <sz val="7"/>
        <rFont val="Times New Roman"/>
        <family val="1"/>
      </rPr>
      <t>10XL</t>
    </r>
  </si>
  <si>
    <t>84.2 — 86.6</t>
  </si>
  <si>
    <t>89.2 — 91.6</t>
  </si>
  <si>
    <t>94.2 — 96.6</t>
  </si>
  <si>
    <t>99.2 — 101.6</t>
  </si>
  <si>
    <t>104.4 — 106.8</t>
  </si>
  <si>
    <t>109.4 — 111.8</t>
  </si>
  <si>
    <t>114.4 — 116.8</t>
  </si>
  <si>
    <t>119.4 — 121.8</t>
  </si>
  <si>
    <t>124.4 — 126.8</t>
  </si>
  <si>
    <t>129.6 — 132.0</t>
  </si>
  <si>
    <t>134.6 — 137.0</t>
  </si>
  <si>
    <t>139.6 — 142.0</t>
  </si>
  <si>
    <t>144.6 — 147.0</t>
  </si>
  <si>
    <t>CINTURA</t>
  </si>
  <si>
    <t>118.6 — 121.0</t>
  </si>
  <si>
    <t>CADERA</t>
  </si>
  <si>
    <t>LARGO DE MANGA</t>
  </si>
  <si>
    <t>2XS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</si>
  <si>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</si>
  <si>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</si>
  <si>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</si>
  <si>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</si>
  <si>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</si>
  <si>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</si>
  <si>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</si>
  <si>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</si>
  <si>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</si>
  <si>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6XL</t>
  </si>
  <si>
    <t>7XL</t>
  </si>
  <si>
    <t>8XL</t>
  </si>
  <si>
    <t>9XL</t>
  </si>
  <si>
    <t>10XL</t>
  </si>
  <si>
    <r>
      <rPr>
        <b/>
        <sz val="7"/>
        <rFont val="Times New Roman"/>
        <family val="1"/>
      </rPr>
      <t>TALLAS</t>
    </r>
  </si>
  <si>
    <r>
      <rPr>
        <b/>
        <sz val="4"/>
        <rFont val="Times New Roman"/>
        <family val="1"/>
      </rPr>
      <t>TOL +/-</t>
    </r>
  </si>
  <si>
    <r>
      <rPr>
        <b/>
        <sz val="5.5"/>
        <rFont val="Times New Roman"/>
        <family val="1"/>
      </rPr>
      <t>TALLE ESPALDA</t>
    </r>
  </si>
  <si>
    <r>
      <rPr>
        <b/>
        <sz val="5.5"/>
        <rFont val="Times New Roman"/>
        <family val="1"/>
      </rPr>
      <t>LARGO TOTAL</t>
    </r>
  </si>
  <si>
    <r>
      <rPr>
        <b/>
        <sz val="5.5"/>
        <rFont val="Times New Roman"/>
        <family val="1"/>
      </rPr>
      <t>ESPALDA 1</t>
    </r>
  </si>
  <si>
    <r>
      <rPr>
        <b/>
        <sz val="5.5"/>
        <rFont val="Times New Roman"/>
        <family val="1"/>
      </rPr>
      <t>ESPALDA 2</t>
    </r>
  </si>
  <si>
    <r>
      <rPr>
        <b/>
        <sz val="5.5"/>
        <rFont val="Times New Roman"/>
        <family val="1"/>
      </rPr>
      <t>PECHO</t>
    </r>
  </si>
  <si>
    <r>
      <rPr>
        <b/>
        <sz val="5.5"/>
        <rFont val="Times New Roman"/>
        <family val="1"/>
      </rPr>
      <t>CINTURA</t>
    </r>
  </si>
  <si>
    <r>
      <rPr>
        <b/>
        <sz val="5.5"/>
        <rFont val="Times New Roman"/>
        <family val="1"/>
      </rPr>
      <t>CADERA</t>
    </r>
  </si>
  <si>
    <r>
      <rPr>
        <b/>
        <sz val="5.5"/>
        <rFont val="Times New Roman"/>
        <family val="1"/>
      </rPr>
      <t>HOMBRO</t>
    </r>
  </si>
  <si>
    <r>
      <rPr>
        <b/>
        <sz val="5.5"/>
        <rFont val="Times New Roman"/>
        <family val="1"/>
      </rPr>
      <t>LARGO DE MANGA</t>
    </r>
  </si>
  <si>
    <r>
      <rPr>
        <b/>
        <sz val="5.5"/>
        <rFont val="Times New Roman"/>
        <family val="1"/>
      </rPr>
      <t>CONTORNO DE BRAZO</t>
    </r>
  </si>
  <si>
    <r>
      <rPr>
        <b/>
        <sz val="5.5"/>
        <rFont val="Times New Roman"/>
        <family val="1"/>
      </rPr>
      <t>AMPLITUDE PECHO</t>
    </r>
  </si>
  <si>
    <r>
      <rPr>
        <b/>
        <sz val="5.5"/>
        <rFont val="Times New Roman"/>
        <family val="1"/>
      </rPr>
      <t>ALTO SISA ESPALDA</t>
    </r>
  </si>
  <si>
    <r>
      <rPr>
        <b/>
        <sz val="5.5"/>
        <rFont val="Times New Roman"/>
        <family val="1"/>
      </rPr>
      <t>BOCAMANGA</t>
    </r>
  </si>
  <si>
    <r>
      <rPr>
        <b/>
        <sz val="5.5"/>
        <rFont val="Times New Roman"/>
        <family val="1"/>
      </rPr>
      <t>LARGO DELANTERO</t>
    </r>
  </si>
  <si>
    <t>PECHO</t>
  </si>
  <si>
    <t>LARGO</t>
  </si>
  <si>
    <t>32 (Base)</t>
  </si>
  <si>
    <t>75.4 — 77.8</t>
  </si>
  <si>
    <t>80.5 — 82.9</t>
  </si>
  <si>
    <t>85.6 — 88.0</t>
  </si>
  <si>
    <t>88.1 — 90.5</t>
  </si>
  <si>
    <t>93.2 — 95.6</t>
  </si>
  <si>
    <t>98.3 — 100.7</t>
  </si>
  <si>
    <t>100.8 — 103.2</t>
  </si>
  <si>
    <t>105.9 — 108.3</t>
  </si>
  <si>
    <t>111.0 — 113.4</t>
  </si>
  <si>
    <t>113.5 — 115.9</t>
  </si>
  <si>
    <t>123.7 — 126.1</t>
  </si>
  <si>
    <t>126.2 — 128.6</t>
  </si>
  <si>
    <t>131.3 — 133.7</t>
  </si>
  <si>
    <t>136.4 — 138.8</t>
  </si>
  <si>
    <t>92.1 — 94.3</t>
  </si>
  <si>
    <t>94.3 — 96.5</t>
  </si>
  <si>
    <t>96.6 — 98.8</t>
  </si>
  <si>
    <t>98.8 — 101.0</t>
  </si>
  <si>
    <t>101.0 — 103.2</t>
  </si>
  <si>
    <t>103.2 — 105.4</t>
  </si>
  <si>
    <t>105.5 — 107.7</t>
  </si>
  <si>
    <t>107.7 — 109.9</t>
  </si>
  <si>
    <t>109.9 — 112.1</t>
  </si>
  <si>
    <t>112.1 — 114.3</t>
  </si>
  <si>
    <t>114.3 — 116.5</t>
  </si>
  <si>
    <t>116.6 — 118.8</t>
  </si>
  <si>
    <t>118.8 — 121.0</t>
  </si>
  <si>
    <t>121.0 — 123.2</t>
  </si>
  <si>
    <t>123.2 — 125.4</t>
  </si>
  <si>
    <t>125.5 — 127.7</t>
  </si>
  <si>
    <t>127.7 — 129.9</t>
  </si>
  <si>
    <t>129.9 — 132.1</t>
  </si>
  <si>
    <t>132.1 — 134.3</t>
  </si>
  <si>
    <t>134.3 — 136.5</t>
  </si>
  <si>
    <t>136.6 — 138.8</t>
  </si>
  <si>
    <t>138.8 — 141.0</t>
  </si>
  <si>
    <t>141.0 — 143.2</t>
  </si>
  <si>
    <t>143.2 — 145.4</t>
  </si>
  <si>
    <t>145.5 — 147.7</t>
  </si>
  <si>
    <t>77.9 — 80.4</t>
  </si>
  <si>
    <t>83.0 — 85.5</t>
  </si>
  <si>
    <t>90.6 — 93.1</t>
  </si>
  <si>
    <t>95.7 — 98.2</t>
  </si>
  <si>
    <t>103.3 — 105.8</t>
  </si>
  <si>
    <t>108.4 — 110.9</t>
  </si>
  <si>
    <t>116.0 — 118.5</t>
  </si>
  <si>
    <t>121.1 — 123.6</t>
  </si>
  <si>
    <t>128.7 — 131.2</t>
  </si>
  <si>
    <t>133.8 — 136.3</t>
  </si>
  <si>
    <t>TIRO DELANTERO SIN PRETINA</t>
  </si>
  <si>
    <t>TIRO POSTERIOR SIN PRETINA</t>
  </si>
  <si>
    <t>MEDIDA DE CIERRE UTIL</t>
  </si>
  <si>
    <t xml:space="preserve">CADERA </t>
  </si>
  <si>
    <t>CUELLO</t>
  </si>
  <si>
    <t>LARGO DE CUELLO</t>
  </si>
  <si>
    <t>ANCHO DE ESPALDA</t>
  </si>
  <si>
    <t>MITAD DE TÓRAX</t>
  </si>
  <si>
    <t>MITAD DE CINTURA</t>
  </si>
  <si>
    <t>MITAD DE CADERA</t>
  </si>
  <si>
    <t>MITAD DE BÍCEPS</t>
  </si>
  <si>
    <t>LARGO CENTRO ESPALDA</t>
  </si>
  <si>
    <t>LARGO MANGA CORTA</t>
  </si>
  <si>
    <t>ANCHO BOCA MANGA</t>
  </si>
  <si>
    <t>ALTO DE CANESÚ</t>
  </si>
  <si>
    <t>SISA CURVA</t>
  </si>
  <si>
    <t>TALLAS</t>
  </si>
  <si>
    <t>3XS</t>
  </si>
  <si>
    <t>8 XL</t>
  </si>
  <si>
    <t>LARGO TOTAL</t>
  </si>
  <si>
    <t>MUSLO 1" BAJO ENTREPIERNA</t>
  </si>
  <si>
    <t>RODILLA 14" BAJO ENTREPIERNA</t>
  </si>
  <si>
    <t>BOTAPIE (FORMA RECTA)</t>
  </si>
  <si>
    <t>ABERTURA DE CUELLO COST. A COST.</t>
  </si>
  <si>
    <t xml:space="preserve">CAIDA DEL ESCOTE DELANTERO </t>
  </si>
  <si>
    <t>LARGO DELANTERO DEL HPS</t>
  </si>
  <si>
    <t>ANCHO DE HOMBRO COST. A COST.</t>
  </si>
  <si>
    <t xml:space="preserve">ANCHO DE PECHO A 2.5CM BAJO SISA </t>
  </si>
  <si>
    <t>ANCHO DE FALDON O RUEDO</t>
  </si>
  <si>
    <t>ALTO DE SISA (PIEZA TERMINADA)</t>
  </si>
  <si>
    <t>SISA RECTA</t>
  </si>
  <si>
    <t>ALTO DE PRETINA</t>
  </si>
  <si>
    <t>ALTO DE CUELLO  (PIEZA TERMINADA)</t>
  </si>
  <si>
    <t>92.0 – 95.9</t>
  </si>
  <si>
    <t>96.0 – 99.9</t>
  </si>
  <si>
    <t>100.0 – 103.9</t>
  </si>
  <si>
    <t>104.0 – 107.9</t>
  </si>
  <si>
    <t>108.0 – 111.9</t>
  </si>
  <si>
    <t>112.0 – 115.9</t>
  </si>
  <si>
    <t>116.0 – 119.9</t>
  </si>
  <si>
    <t>120.0 – 123.9</t>
  </si>
  <si>
    <t>124.0 – 127.9</t>
  </si>
  <si>
    <t>128.0 – 131.9</t>
  </si>
  <si>
    <t>84.2 – 86.5</t>
  </si>
  <si>
    <t>77.0 – 79.5</t>
  </si>
  <si>
    <t>86.0 – 88.5</t>
  </si>
  <si>
    <t>86.6 – 89.1</t>
  </si>
  <si>
    <t>79.6 – 82.1</t>
  </si>
  <si>
    <t>88.6 – 91.1</t>
  </si>
  <si>
    <t>89.2 – 91.7</t>
  </si>
  <si>
    <t>82.2 – 84.7</t>
  </si>
  <si>
    <t>91.2 – 93.7</t>
  </si>
  <si>
    <t>91.8 – 94.1</t>
  </si>
  <si>
    <t>84.8 – 87.3</t>
  </si>
  <si>
    <t>93.8 – 96.3</t>
  </si>
  <si>
    <t>94.2 – 96.7</t>
  </si>
  <si>
    <t>87.4 – 89.9</t>
  </si>
  <si>
    <t>96.4 – 98.9</t>
  </si>
  <si>
    <t>96.8 – 99.1</t>
  </si>
  <si>
    <t>90.0 – 92.5</t>
  </si>
  <si>
    <t>99.0 – 101.5</t>
  </si>
  <si>
    <t>99.2 – 101.7</t>
  </si>
  <si>
    <t>92.6 – 95.1</t>
  </si>
  <si>
    <t>101.6 – 104.1</t>
  </si>
  <si>
    <t>101.8 – 104.3</t>
  </si>
  <si>
    <t>95.2 – 97.7</t>
  </si>
  <si>
    <t>104.2 – 106.7</t>
  </si>
  <si>
    <t>104.4 – 106.7</t>
  </si>
  <si>
    <t>97.8 – 100.3</t>
  </si>
  <si>
    <t>106.8 – 109.3</t>
  </si>
  <si>
    <t>100.4 – 102.9</t>
  </si>
  <si>
    <t>109.4 – 111.9</t>
  </si>
  <si>
    <t>109.4 – 111.7</t>
  </si>
  <si>
    <t>103.0 – 105.5</t>
  </si>
  <si>
    <t>112.0 – 114.5</t>
  </si>
  <si>
    <t>111.8 – 114.3</t>
  </si>
  <si>
    <t>105.6 – 108.1</t>
  </si>
  <si>
    <t>114.6 – 117.1</t>
  </si>
  <si>
    <t>114.4 – 116.9</t>
  </si>
  <si>
    <t>108.2 – 110.7</t>
  </si>
  <si>
    <t>117.2 – 119.7</t>
  </si>
  <si>
    <t>117.0 – 119.3</t>
  </si>
  <si>
    <t>110.8 – 113.3</t>
  </si>
  <si>
    <t>119.8 – 122.3</t>
  </si>
  <si>
    <t>119.4 – 121.9</t>
  </si>
  <si>
    <t>113.4 – 115.9</t>
  </si>
  <si>
    <t>122.4 – 124.9</t>
  </si>
  <si>
    <t>122.0 – 124.3</t>
  </si>
  <si>
    <t>116.0 – 118.5</t>
  </si>
  <si>
    <t>125.0 – 127.5</t>
  </si>
  <si>
    <t>124.4 – 126.9</t>
  </si>
  <si>
    <t>118.6 – 121.1</t>
  </si>
  <si>
    <t>127.6 – 130.1</t>
  </si>
  <si>
    <t>127.0 – 129.5</t>
  </si>
  <si>
    <t>121.2 – 123.7</t>
  </si>
  <si>
    <t>130.2 – 132.7</t>
  </si>
  <si>
    <t>129.6 – 131.9</t>
  </si>
  <si>
    <t>123.8 – 126.3</t>
  </si>
  <si>
    <t>132.8 – 135.3</t>
  </si>
  <si>
    <t>132.0 – 134.5</t>
  </si>
  <si>
    <t>126.4 – 128.9</t>
  </si>
  <si>
    <t>135.4 – 137.9</t>
  </si>
  <si>
    <t>134.6 – 136.9</t>
  </si>
  <si>
    <t>129.0 – 131.5</t>
  </si>
  <si>
    <t>138.0 – 140.5</t>
  </si>
  <si>
    <t>137.0 – 139.5</t>
  </si>
  <si>
    <t>131.6 – 134.1</t>
  </si>
  <si>
    <t>140.6 – 143.1</t>
  </si>
  <si>
    <t>139.6 – 142.1</t>
  </si>
  <si>
    <t>134.2 – 136.7</t>
  </si>
  <si>
    <t>143.2 – 145.7</t>
  </si>
  <si>
    <t>142.2 – 144.5</t>
  </si>
  <si>
    <t>136.8 – 139.3</t>
  </si>
  <si>
    <t>145.8 – 148.3</t>
  </si>
  <si>
    <t>144.6 – 147.1</t>
  </si>
  <si>
    <t>139.4 – 141.9</t>
  </si>
  <si>
    <t>148.4 – 150.9</t>
  </si>
  <si>
    <t>147.2 – 149.5</t>
  </si>
  <si>
    <t>142.0 – 144.5</t>
  </si>
  <si>
    <t>151.0 – 153.5</t>
  </si>
  <si>
    <t>149.6 – 152.1</t>
  </si>
  <si>
    <t>153.6 – 156.1</t>
  </si>
  <si>
    <t>152.2 – 154.7</t>
  </si>
  <si>
    <t>147.2 – 149.7</t>
  </si>
  <si>
    <t>156.2 – 158.7</t>
  </si>
  <si>
    <t>154.8 – 157.3</t>
  </si>
  <si>
    <t>149.8 – 152.3</t>
  </si>
  <si>
    <t>158.8 – 161.3</t>
  </si>
  <si>
    <t>101.3 – 102.8</t>
  </si>
  <si>
    <t>102.9 – 104.4</t>
  </si>
  <si>
    <t>104.5 – 107.0</t>
  </si>
  <si>
    <t>107.1 – 109.6</t>
  </si>
  <si>
    <t>109.7 – 112.2</t>
  </si>
  <si>
    <t>112.3 – 114.8</t>
  </si>
  <si>
    <t>114.9 – 117.3</t>
  </si>
  <si>
    <t>117.4 – 119.8</t>
  </si>
  <si>
    <t>119.9 – 122.3</t>
  </si>
  <si>
    <t>125.0 – 127.4</t>
  </si>
  <si>
    <t>127.5 – 130.0</t>
  </si>
  <si>
    <t>130.1 – 132.5</t>
  </si>
  <si>
    <t>132.6 – 135.1</t>
  </si>
  <si>
    <t>135.2 – 137.6</t>
  </si>
  <si>
    <t>137.7 – 140.2</t>
  </si>
  <si>
    <t>140.3 – 142.7</t>
  </si>
  <si>
    <t>142.8 – 145.2</t>
  </si>
  <si>
    <t>145.3 – 147.7</t>
  </si>
  <si>
    <t>147.8 – 150.3</t>
  </si>
  <si>
    <t>150.4 – 152.8</t>
  </si>
  <si>
    <t>152.9 – 155.4</t>
  </si>
  <si>
    <t>155.5 – 157.9</t>
  </si>
  <si>
    <t>158.0 – 160.5</t>
  </si>
  <si>
    <t>160.6 – 163.0</t>
  </si>
  <si>
    <t>163.1 – 165.6</t>
  </si>
  <si>
    <t>165.7 – 168.1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</si>
</sst>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280A]General"/>
    <numFmt numFmtId="166" formatCode="[$S/-280A]#,##0.00;[Red][$S/-280A]&quot;-&quot;#,##0.00"/>
  </numFmts>
  <fonts count="36">
    <font>
      <sz val="11"/>
      <color theme="1"/>
      <name val="Calibri"/>
      <family val="2"/>
      <scheme val="minor"/>
    </font>
    <font>
      <b/>
      <sz val="7"/>
      <name val="Times New Roman"/>
      <family val="1"/>
    </font>
    <font>
      <b/>
      <sz val="7"/>
      <color rgb="FF000000"/>
      <name val="Times New Roman"/>
      <family val="2"/>
    </font>
    <font>
      <b/>
      <sz val="9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4"/>
      <name val="Times New Roman"/>
      <family val="1"/>
    </font>
    <font>
      <b/>
      <sz val="5.5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Arial1"/>
    </font>
    <font>
      <sz val="11"/>
      <color rgb="FF000000"/>
      <name val="Calibri"/>
      <family val="2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0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12" fillId="0" borderId="0"/>
    <xf numFmtId="165" fontId="13" fillId="0" borderId="0"/>
    <xf numFmtId="0" fontId="14" fillId="0" borderId="0">
      <alignment horizontal="center"/>
    </xf>
    <xf numFmtId="0" fontId="14" fillId="0" borderId="0">
      <alignment horizontal="center" textRotation="90"/>
    </xf>
    <xf numFmtId="0" fontId="15" fillId="0" borderId="0"/>
    <xf numFmtId="166" fontId="15" fillId="0" borderId="0"/>
    <xf numFmtId="0" fontId="16" fillId="0" borderId="0"/>
    <xf numFmtId="0" fontId="17" fillId="0" borderId="0"/>
    <xf numFmtId="0" fontId="16" fillId="0" borderId="0"/>
    <xf numFmtId="0" fontId="11" fillId="0" borderId="0"/>
    <xf numFmtId="0" fontId="18" fillId="0" borderId="0" applyBorder="0" applyProtection="0"/>
    <xf numFmtId="0" fontId="11" fillId="0" borderId="0"/>
    <xf numFmtId="0" fontId="11" fillId="0" borderId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9" applyNumberFormat="0" applyAlignment="0" applyProtection="0"/>
    <xf numFmtId="0" fontId="27" fillId="7" borderId="10" applyNumberFormat="0" applyAlignment="0" applyProtection="0"/>
    <xf numFmtId="0" fontId="28" fillId="7" borderId="9" applyNumberFormat="0" applyAlignment="0" applyProtection="0"/>
    <xf numFmtId="0" fontId="29" fillId="0" borderId="11" applyNumberFormat="0" applyFill="0" applyAlignment="0" applyProtection="0"/>
    <xf numFmtId="0" fontId="30" fillId="8" borderId="12" applyNumberFormat="0" applyAlignment="0" applyProtection="0"/>
    <xf numFmtId="0" fontId="31" fillId="0" borderId="0" applyNumberFormat="0" applyFill="0" applyBorder="0" applyAlignment="0" applyProtection="0"/>
    <xf numFmtId="0" fontId="11" fillId="9" borderId="13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34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34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34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34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34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35" fillId="0" borderId="0"/>
  </cellStyleXfs>
  <cellXfs count="46">
    <xf numFmtId="0" fontId="0" fillId="0" borderId="0" xfId="0"/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1" fontId="2" fillId="2" borderId="3" xfId="0" applyNumberFormat="1" applyFont="1" applyFill="1" applyBorder="1" applyAlignment="1">
      <alignment horizontal="left" vertical="top" indent="1" shrinkToFit="1"/>
    </xf>
    <xf numFmtId="1" fontId="2" fillId="2" borderId="3" xfId="0" applyNumberFormat="1" applyFont="1" applyFill="1" applyBorder="1" applyAlignment="1">
      <alignment horizontal="right" vertical="top" indent="1" shrinkToFit="1"/>
    </xf>
    <xf numFmtId="1" fontId="2" fillId="2" borderId="3" xfId="0" applyNumberFormat="1" applyFont="1" applyFill="1" applyBorder="1" applyAlignment="1">
      <alignment horizontal="center" vertical="top" shrinkToFit="1"/>
    </xf>
    <xf numFmtId="1" fontId="4" fillId="2" borderId="3" xfId="0" applyNumberFormat="1" applyFont="1" applyFill="1" applyBorder="1" applyAlignment="1">
      <alignment horizontal="left" vertical="top" indent="1" shrinkToFit="1"/>
    </xf>
    <xf numFmtId="0" fontId="7" fillId="2" borderId="1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1" fontId="8" fillId="2" borderId="3" xfId="0" applyNumberFormat="1" applyFont="1" applyFill="1" applyBorder="1" applyAlignment="1">
      <alignment horizontal="left" vertical="top" indent="1" shrinkToFit="1"/>
    </xf>
    <xf numFmtId="1" fontId="8" fillId="2" borderId="3" xfId="0" applyNumberFormat="1" applyFont="1" applyFill="1" applyBorder="1" applyAlignment="1">
      <alignment horizontal="right" vertical="top" indent="1" shrinkToFit="1"/>
    </xf>
    <xf numFmtId="1" fontId="8" fillId="2" borderId="3" xfId="0" applyNumberFormat="1" applyFont="1" applyFill="1" applyBorder="1" applyAlignment="1">
      <alignment horizontal="center" vertical="top" shrinkToFit="1"/>
    </xf>
    <xf numFmtId="0" fontId="1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shrinkToFit="1"/>
    </xf>
    <xf numFmtId="2" fontId="3" fillId="0" borderId="3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0" fillId="0" borderId="4" xfId="0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left" vertical="top" indent="1" shrinkToFit="1"/>
    </xf>
    <xf numFmtId="164" fontId="6" fillId="2" borderId="3" xfId="0" applyNumberFormat="1" applyFont="1" applyFill="1" applyBorder="1" applyAlignment="1">
      <alignment horizontal="right" vertical="top" indent="1" shrinkToFit="1"/>
    </xf>
    <xf numFmtId="164" fontId="6" fillId="2" borderId="3" xfId="0" applyNumberFormat="1" applyFont="1" applyFill="1" applyBorder="1" applyAlignment="1">
      <alignment horizontal="center" vertical="top" shrinkToFit="1"/>
    </xf>
    <xf numFmtId="0" fontId="5" fillId="2" borderId="3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164" fontId="8" fillId="2" borderId="3" xfId="0" applyNumberFormat="1" applyFont="1" applyFill="1" applyBorder="1" applyAlignment="1">
      <alignment horizontal="right" vertical="top" indent="1" shrinkToFit="1"/>
    </xf>
    <xf numFmtId="164" fontId="8" fillId="2" borderId="3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Alignment="1">
      <alignment horizontal="left" vertical="top" indent="1" shrinkToFit="1"/>
    </xf>
    <xf numFmtId="0" fontId="7" fillId="2" borderId="1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center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164" fontId="2" fillId="2" borderId="3" xfId="0" applyNumberFormat="1" applyFont="1" applyFill="1" applyBorder="1" applyAlignment="1">
      <alignment horizontal="right" vertical="top" shrinkToFit="1"/>
    </xf>
    <xf numFmtId="164" fontId="2" fillId="2" borderId="3" xfId="0" applyNumberFormat="1" applyFont="1" applyFill="1" applyBorder="1" applyAlignment="1">
      <alignment horizontal="left" vertical="top" shrinkToFit="1"/>
    </xf>
    <xf numFmtId="0" fontId="7" fillId="2" borderId="2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164" fontId="2" fillId="2" borderId="3" xfId="0" applyNumberFormat="1" applyFont="1" applyFill="1" applyBorder="1" applyAlignment="1">
      <alignment horizontal="center" vertical="top" shrinkToFit="1"/>
    </xf>
    <xf numFmtId="0" fontId="0" fillId="0" borderId="0" xfId="0"/>
  </cellXfs>
  <cellStyles count="56">
    <cellStyle name="20% - Énfasis1" xfId="32" builtinId="30" customBuiltin="1"/>
    <cellStyle name="20% - Énfasis2" xfId="36" builtinId="34" customBuiltin="1"/>
    <cellStyle name="20% - Énfasis3" xfId="40" builtinId="38" customBuiltin="1"/>
    <cellStyle name="20% - Énfasis4" xfId="44" builtinId="42" customBuiltin="1"/>
    <cellStyle name="20% - Énfasis5" xfId="48" builtinId="46" customBuiltin="1"/>
    <cellStyle name="20% - Énfasis6" xfId="52" builtinId="50" customBuiltin="1"/>
    <cellStyle name="40% - Énfasis1" xfId="33" builtinId="31" customBuiltin="1"/>
    <cellStyle name="40% - Énfasis2" xfId="37" builtinId="35" customBuiltin="1"/>
    <cellStyle name="40% - Énfasis3" xfId="41" builtinId="39" customBuiltin="1"/>
    <cellStyle name="40% - Énfasis4" xfId="45" builtinId="43" customBuiltin="1"/>
    <cellStyle name="40% - Énfasis5" xfId="49" builtinId="47" customBuiltin="1"/>
    <cellStyle name="40% - Énfasis6" xfId="53" builtinId="51" customBuiltin="1"/>
    <cellStyle name="60% - Énfasis1" xfId="34" builtinId="32" customBuiltin="1"/>
    <cellStyle name="60% - Énfasis2" xfId="38" builtinId="36" customBuiltin="1"/>
    <cellStyle name="60% - Énfasis3" xfId="42" builtinId="40" customBuiltin="1"/>
    <cellStyle name="60% - Énfasis4" xfId="46" builtinId="44" customBuiltin="1"/>
    <cellStyle name="60% - Énfasis5" xfId="50" builtinId="48" customBuiltin="1"/>
    <cellStyle name="60% - Énfasis6" xfId="54" builtinId="52" customBuiltin="1"/>
    <cellStyle name="Bueno" xfId="19" builtinId="26" customBuiltin="1"/>
    <cellStyle name="Cálculo" xfId="24" builtinId="22" customBuiltin="1"/>
    <cellStyle name="Celda de comprobación" xfId="26" builtinId="23" customBuiltin="1"/>
    <cellStyle name="Celda vinculada" xfId="25" builtinId="24" customBuiltin="1"/>
    <cellStyle name="Encabezado 1" xfId="15" builtinId="16" customBuiltin="1"/>
    <cellStyle name="Encabezado 4" xfId="18" builtinId="19" customBuiltin="1"/>
    <cellStyle name="Énfasis1" xfId="31" builtinId="29" customBuiltin="1"/>
    <cellStyle name="Énfasis2" xfId="35" builtinId="33" customBuiltin="1"/>
    <cellStyle name="Énfasis3" xfId="39" builtinId="37" customBuiltin="1"/>
    <cellStyle name="Énfasis4" xfId="43" builtinId="41" customBuiltin="1"/>
    <cellStyle name="Énfasis5" xfId="47" builtinId="45" customBuiltin="1"/>
    <cellStyle name="Énfasis6" xfId="51" builtinId="49" customBuiltin="1"/>
    <cellStyle name="Entrada" xfId="22" builtinId="20" customBuiltin="1"/>
    <cellStyle name="Excel Built-in Normal" xfId="2" xr:uid="{0DC59BB3-E3B0-435E-881A-0EE616BA5157}"/>
    <cellStyle name="Excel Built-in Normal 2" xfId="11" xr:uid="{D42E5D07-0BA8-48E5-BA00-C44A87477750}"/>
    <cellStyle name="Heading" xfId="3" xr:uid="{1F27F3CB-986C-452A-9792-9E5891757D7C}"/>
    <cellStyle name="Heading1" xfId="4" xr:uid="{9B2CD3DC-EA35-4846-950F-128355310DFB}"/>
    <cellStyle name="Incorrecto" xfId="20" builtinId="27" customBuiltin="1"/>
    <cellStyle name="Neutral" xfId="21" builtinId="28" customBuiltin="1"/>
    <cellStyle name="Normal" xfId="0" builtinId="0"/>
    <cellStyle name="Normal 2" xfId="8" xr:uid="{6F285853-9243-444F-986F-4164BCA7CE76}"/>
    <cellStyle name="Normal 2 2" xfId="9" xr:uid="{D126E456-A5AD-4380-9594-EBBA29FEECE3}"/>
    <cellStyle name="Normal 2 2 2" xfId="10" xr:uid="{E03BC62D-C6F4-4566-BDB7-948CA2BB4767}"/>
    <cellStyle name="Normal 2 2 3" xfId="12" xr:uid="{6974D579-6B44-4A35-81B9-90D65F6E7FD9}"/>
    <cellStyle name="Normal 2 2 4" xfId="13" xr:uid="{D81AB341-9730-4273-82F4-62B481503C4D}"/>
    <cellStyle name="Normal 2 3" xfId="55" xr:uid="{098D421A-2236-456E-AE7F-05BD6396D76E}"/>
    <cellStyle name="Normal 3" xfId="7" xr:uid="{E18D177E-CD86-4A72-8475-6DE4799137A6}"/>
    <cellStyle name="Normal 4" xfId="1" xr:uid="{3FEA68E9-8CD7-4F2C-A31A-2FA8B645664B}"/>
    <cellStyle name="Notas" xfId="28" builtinId="10" customBuiltin="1"/>
    <cellStyle name="Result" xfId="5" xr:uid="{156FDD3F-24D0-45C6-92A4-9EDB79070FD1}"/>
    <cellStyle name="Result2" xfId="6" xr:uid="{A542143E-DDBE-4C62-B63A-11FF386E6582}"/>
    <cellStyle name="Salida" xfId="23" builtinId="21" customBuiltin="1"/>
    <cellStyle name="Texto de advertencia" xfId="27" builtinId="11" customBuiltin="1"/>
    <cellStyle name="Texto explicativo" xfId="29" builtinId="53" customBuiltin="1"/>
    <cellStyle name="Título" xfId="14" builtinId="15" customBuiltin="1"/>
    <cellStyle name="Título 2" xfId="16" builtinId="17" customBuiltin="1"/>
    <cellStyle name="Título 3" xfId="17" builtinId="18" customBuiltin="1"/>
    <cellStyle name="Total" xfId="3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86EC-353F-4081-A8BE-F9242A7F9BAC}">
  <dimension ref="A1:AD6"/>
  <sheetViews>
    <sheetView workbookViewId="0">
      <selection activeCell="C23" sqref="C23"/>
    </sheetView>
  </sheetViews>
  <sheetFormatPr baseColWidth="10" defaultRowHeight="14.4"/>
  <cols>
    <col min="1" max="1" width="20.33203125" bestFit="1" customWidth="1"/>
    <col min="9" max="9" width="12.77734375" bestFit="1" customWidth="1"/>
  </cols>
  <sheetData>
    <row r="1" spans="1:30">
      <c r="A1" s="1"/>
      <c r="B1" s="34" t="s">
        <v>32</v>
      </c>
      <c r="C1" s="35"/>
      <c r="D1" s="34" t="s">
        <v>33</v>
      </c>
      <c r="E1" s="35"/>
      <c r="F1" s="34" t="s">
        <v>34</v>
      </c>
      <c r="G1" s="35"/>
      <c r="H1" s="34" t="s">
        <v>35</v>
      </c>
      <c r="I1" s="35"/>
      <c r="J1" s="34" t="s">
        <v>36</v>
      </c>
      <c r="K1" s="35"/>
      <c r="L1" s="34" t="s">
        <v>37</v>
      </c>
      <c r="M1" s="35"/>
      <c r="N1" s="34" t="s">
        <v>38</v>
      </c>
      <c r="O1" s="35"/>
      <c r="P1" s="34" t="s">
        <v>39</v>
      </c>
      <c r="Q1" s="35"/>
      <c r="R1" s="34" t="s">
        <v>40</v>
      </c>
      <c r="S1" s="35"/>
      <c r="T1" s="34" t="s">
        <v>41</v>
      </c>
      <c r="U1" s="35"/>
      <c r="V1" s="34" t="s">
        <v>42</v>
      </c>
      <c r="W1" s="35"/>
      <c r="X1" s="34" t="s">
        <v>43</v>
      </c>
      <c r="Y1" s="35"/>
      <c r="Z1" s="34" t="s">
        <v>44</v>
      </c>
      <c r="AA1" s="35"/>
      <c r="AB1" s="34" t="s">
        <v>45</v>
      </c>
      <c r="AC1" s="35"/>
      <c r="AD1" s="9" t="s">
        <v>46</v>
      </c>
    </row>
    <row r="2" spans="1:30">
      <c r="A2" s="1"/>
      <c r="B2" s="10">
        <v>32</v>
      </c>
      <c r="C2" s="11">
        <v>33</v>
      </c>
      <c r="D2" s="12">
        <v>34</v>
      </c>
      <c r="E2" s="12">
        <v>35</v>
      </c>
      <c r="F2" s="12">
        <v>36</v>
      </c>
      <c r="G2" s="12">
        <v>37</v>
      </c>
      <c r="H2" s="12">
        <v>38</v>
      </c>
      <c r="I2" s="12">
        <v>39</v>
      </c>
      <c r="J2" s="12">
        <v>40</v>
      </c>
      <c r="K2" s="12">
        <v>41</v>
      </c>
      <c r="L2" s="12">
        <v>42</v>
      </c>
      <c r="M2" s="12">
        <v>43</v>
      </c>
      <c r="N2" s="12">
        <v>44</v>
      </c>
      <c r="O2" s="12">
        <v>45</v>
      </c>
      <c r="P2" s="12">
        <v>46</v>
      </c>
      <c r="Q2" s="12">
        <v>47</v>
      </c>
      <c r="R2" s="12">
        <v>48</v>
      </c>
      <c r="S2" s="12">
        <v>49</v>
      </c>
      <c r="T2" s="12">
        <v>50</v>
      </c>
      <c r="U2" s="12">
        <v>51</v>
      </c>
      <c r="V2" s="12">
        <v>52</v>
      </c>
      <c r="W2" s="12">
        <v>53</v>
      </c>
      <c r="X2" s="12">
        <v>54</v>
      </c>
      <c r="Y2" s="12">
        <v>55</v>
      </c>
      <c r="Z2" s="12">
        <v>56</v>
      </c>
      <c r="AA2" s="12">
        <v>57</v>
      </c>
      <c r="AB2" s="12">
        <v>58</v>
      </c>
      <c r="AC2" s="12">
        <v>59</v>
      </c>
      <c r="AD2" s="12">
        <v>60</v>
      </c>
    </row>
    <row r="3" spans="1:30">
      <c r="A3" s="6" t="s">
        <v>63</v>
      </c>
      <c r="B3" s="1" t="s">
        <v>158</v>
      </c>
      <c r="C3" s="1" t="s">
        <v>161</v>
      </c>
      <c r="D3" s="1" t="s">
        <v>164</v>
      </c>
      <c r="E3" s="1" t="s">
        <v>167</v>
      </c>
      <c r="F3" s="1" t="s">
        <v>170</v>
      </c>
      <c r="G3" s="1" t="s">
        <v>173</v>
      </c>
      <c r="H3" s="1" t="s">
        <v>176</v>
      </c>
      <c r="I3" s="1" t="s">
        <v>179</v>
      </c>
      <c r="J3" s="1" t="s">
        <v>182</v>
      </c>
      <c r="K3" s="1" t="s">
        <v>184</v>
      </c>
      <c r="L3" s="1" t="s">
        <v>187</v>
      </c>
      <c r="M3" s="1" t="s">
        <v>190</v>
      </c>
      <c r="N3" s="1" t="s">
        <v>193</v>
      </c>
      <c r="O3" s="1" t="s">
        <v>196</v>
      </c>
      <c r="P3" s="1" t="s">
        <v>199</v>
      </c>
      <c r="Q3" s="1" t="s">
        <v>202</v>
      </c>
      <c r="R3" s="1" t="s">
        <v>205</v>
      </c>
      <c r="S3" s="1" t="s">
        <v>208</v>
      </c>
      <c r="T3" s="1" t="s">
        <v>211</v>
      </c>
      <c r="U3" s="1" t="s">
        <v>214</v>
      </c>
      <c r="V3" s="1" t="s">
        <v>217</v>
      </c>
      <c r="W3" s="1" t="s">
        <v>220</v>
      </c>
      <c r="X3" s="1" t="s">
        <v>223</v>
      </c>
      <c r="Y3" s="1" t="s">
        <v>226</v>
      </c>
      <c r="Z3" s="1" t="s">
        <v>229</v>
      </c>
      <c r="AA3" s="1" t="s">
        <v>232</v>
      </c>
      <c r="AB3" s="1" t="s">
        <v>235</v>
      </c>
      <c r="AC3" s="1" t="s">
        <v>237</v>
      </c>
      <c r="AD3" s="1" t="s">
        <v>240</v>
      </c>
    </row>
    <row r="4" spans="1:30">
      <c r="A4" s="6" t="s">
        <v>28</v>
      </c>
      <c r="B4" s="1" t="s">
        <v>159</v>
      </c>
      <c r="C4" s="1" t="s">
        <v>162</v>
      </c>
      <c r="D4" s="1" t="s">
        <v>165</v>
      </c>
      <c r="E4" s="1" t="s">
        <v>168</v>
      </c>
      <c r="F4" s="1" t="s">
        <v>171</v>
      </c>
      <c r="G4" s="1" t="s">
        <v>174</v>
      </c>
      <c r="H4" s="1" t="s">
        <v>177</v>
      </c>
      <c r="I4" s="1" t="s">
        <v>180</v>
      </c>
      <c r="J4" s="1" t="s">
        <v>183</v>
      </c>
      <c r="K4" s="1" t="s">
        <v>185</v>
      </c>
      <c r="L4" s="1" t="s">
        <v>188</v>
      </c>
      <c r="M4" s="1" t="s">
        <v>191</v>
      </c>
      <c r="N4" s="1" t="s">
        <v>194</v>
      </c>
      <c r="O4" s="1" t="s">
        <v>197</v>
      </c>
      <c r="P4" s="1" t="s">
        <v>200</v>
      </c>
      <c r="Q4" s="1" t="s">
        <v>203</v>
      </c>
      <c r="R4" s="1" t="s">
        <v>206</v>
      </c>
      <c r="S4" s="1" t="s">
        <v>209</v>
      </c>
      <c r="T4" s="1" t="s">
        <v>212</v>
      </c>
      <c r="U4" s="1" t="s">
        <v>215</v>
      </c>
      <c r="V4" s="1" t="s">
        <v>218</v>
      </c>
      <c r="W4" s="1" t="s">
        <v>221</v>
      </c>
      <c r="X4" s="1" t="s">
        <v>224</v>
      </c>
      <c r="Y4" s="1" t="s">
        <v>227</v>
      </c>
      <c r="Z4" s="1" t="s">
        <v>230</v>
      </c>
      <c r="AA4" s="1" t="s">
        <v>233</v>
      </c>
      <c r="AB4" s="1" t="s">
        <v>229</v>
      </c>
      <c r="AC4" s="1" t="s">
        <v>238</v>
      </c>
      <c r="AD4" s="1" t="s">
        <v>241</v>
      </c>
    </row>
    <row r="5" spans="1:30">
      <c r="A5" s="6" t="s">
        <v>30</v>
      </c>
      <c r="B5" s="1" t="s">
        <v>160</v>
      </c>
      <c r="C5" s="1" t="s">
        <v>163</v>
      </c>
      <c r="D5" s="1" t="s">
        <v>166</v>
      </c>
      <c r="E5" s="1" t="s">
        <v>169</v>
      </c>
      <c r="F5" s="1" t="s">
        <v>172</v>
      </c>
      <c r="G5" s="1" t="s">
        <v>175</v>
      </c>
      <c r="H5" s="1" t="s">
        <v>178</v>
      </c>
      <c r="I5" s="1" t="s">
        <v>181</v>
      </c>
      <c r="J5" s="1" t="s">
        <v>184</v>
      </c>
      <c r="K5" s="1" t="s">
        <v>186</v>
      </c>
      <c r="L5" s="1" t="s">
        <v>189</v>
      </c>
      <c r="M5" s="1" t="s">
        <v>192</v>
      </c>
      <c r="N5" s="1" t="s">
        <v>195</v>
      </c>
      <c r="O5" s="1" t="s">
        <v>198</v>
      </c>
      <c r="P5" s="1" t="s">
        <v>201</v>
      </c>
      <c r="Q5" s="1" t="s">
        <v>204</v>
      </c>
      <c r="R5" s="1" t="s">
        <v>207</v>
      </c>
      <c r="S5" s="1" t="s">
        <v>210</v>
      </c>
      <c r="T5" s="1" t="s">
        <v>213</v>
      </c>
      <c r="U5" s="1" t="s">
        <v>216</v>
      </c>
      <c r="V5" s="1" t="s">
        <v>219</v>
      </c>
      <c r="W5" s="1" t="s">
        <v>222</v>
      </c>
      <c r="X5" s="1" t="s">
        <v>225</v>
      </c>
      <c r="Y5" s="1" t="s">
        <v>228</v>
      </c>
      <c r="Z5" s="1" t="s">
        <v>231</v>
      </c>
      <c r="AA5" s="1" t="s">
        <v>234</v>
      </c>
      <c r="AB5" s="1" t="s">
        <v>236</v>
      </c>
      <c r="AC5" s="1" t="s">
        <v>239</v>
      </c>
      <c r="AD5" s="1" t="s">
        <v>242</v>
      </c>
    </row>
    <row r="6" spans="1:30">
      <c r="A6" s="6" t="s">
        <v>31</v>
      </c>
      <c r="B6" s="1">
        <v>58.5</v>
      </c>
      <c r="C6" s="1">
        <v>59</v>
      </c>
      <c r="D6" s="1">
        <v>59.5</v>
      </c>
      <c r="E6" s="1">
        <v>60</v>
      </c>
      <c r="F6" s="1">
        <v>60.5</v>
      </c>
      <c r="G6" s="1">
        <v>61</v>
      </c>
      <c r="H6" s="1">
        <v>62</v>
      </c>
      <c r="I6" s="1">
        <v>62.5</v>
      </c>
      <c r="J6" s="1">
        <v>63</v>
      </c>
      <c r="K6" s="1">
        <v>63.5</v>
      </c>
      <c r="L6" s="1">
        <v>64</v>
      </c>
      <c r="M6" s="1">
        <v>64.5</v>
      </c>
      <c r="N6" s="1">
        <v>65</v>
      </c>
      <c r="O6" s="1">
        <v>65.5</v>
      </c>
      <c r="P6" s="1">
        <v>66</v>
      </c>
      <c r="Q6" s="1">
        <v>66.5</v>
      </c>
      <c r="R6" s="1">
        <v>67</v>
      </c>
      <c r="S6" s="1">
        <v>67.5</v>
      </c>
      <c r="T6" s="1">
        <v>68</v>
      </c>
      <c r="U6" s="1">
        <v>68.5</v>
      </c>
      <c r="V6" s="1">
        <v>68.5</v>
      </c>
      <c r="W6" s="1">
        <v>68.5</v>
      </c>
      <c r="X6" s="1">
        <v>68.5</v>
      </c>
      <c r="Y6" s="1">
        <v>68.5</v>
      </c>
      <c r="Z6" s="1">
        <v>68.5</v>
      </c>
      <c r="AA6" s="1">
        <v>68.5</v>
      </c>
      <c r="AB6" s="1">
        <v>68.5</v>
      </c>
      <c r="AC6" s="1">
        <v>68.5</v>
      </c>
      <c r="AD6" s="1">
        <v>68.5</v>
      </c>
    </row>
  </sheetData>
  <mergeCells count="14">
    <mergeCell ref="L1:M1"/>
    <mergeCell ref="B1:C1"/>
    <mergeCell ref="D1:E1"/>
    <mergeCell ref="F1:G1"/>
    <mergeCell ref="H1:I1"/>
    <mergeCell ref="J1:K1"/>
    <mergeCell ref="Z1:AA1"/>
    <mergeCell ref="AB1:AC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89BB-B51C-4B31-A346-EEDD3DEBAE8D}">
  <dimension ref="A1:AE19"/>
  <sheetViews>
    <sheetView zoomScale="110" zoomScaleNormal="160" workbookViewId="0">
      <selection activeCell="H7" sqref="H7"/>
    </sheetView>
  </sheetViews>
  <sheetFormatPr baseColWidth="10" defaultRowHeight="14.4"/>
  <cols>
    <col min="1" max="1" width="14.6640625" bestFit="1" customWidth="1"/>
  </cols>
  <sheetData>
    <row r="1" spans="1:31" s="1" customFormat="1" ht="16.2" customHeight="1">
      <c r="A1" s="20"/>
      <c r="B1" s="13" t="s">
        <v>0</v>
      </c>
      <c r="C1" s="14"/>
      <c r="D1" s="2" t="s">
        <v>1</v>
      </c>
      <c r="E1" s="14"/>
      <c r="F1" s="2" t="s">
        <v>2</v>
      </c>
      <c r="G1" s="14"/>
      <c r="H1" s="5" t="s">
        <v>3</v>
      </c>
      <c r="I1" s="14"/>
      <c r="J1" s="2" t="s">
        <v>4</v>
      </c>
      <c r="K1" s="14"/>
      <c r="L1" s="2" t="s">
        <v>5</v>
      </c>
      <c r="M1" s="14"/>
      <c r="N1" s="2" t="s">
        <v>6</v>
      </c>
      <c r="O1" s="14"/>
      <c r="P1" s="2" t="s">
        <v>7</v>
      </c>
      <c r="Q1" s="14"/>
      <c r="R1" s="2" t="s">
        <v>8</v>
      </c>
      <c r="S1" s="14"/>
      <c r="T1" s="2" t="s">
        <v>9</v>
      </c>
      <c r="U1" s="14"/>
      <c r="V1" s="2" t="s">
        <v>10</v>
      </c>
      <c r="W1" s="14"/>
      <c r="X1" s="2" t="s">
        <v>11</v>
      </c>
      <c r="Y1" s="14"/>
      <c r="Z1" s="2" t="s">
        <v>12</v>
      </c>
      <c r="AA1" s="14"/>
      <c r="AB1" s="2" t="s">
        <v>13</v>
      </c>
      <c r="AC1" s="14"/>
      <c r="AD1" s="2" t="s">
        <v>14</v>
      </c>
      <c r="AE1" s="15"/>
    </row>
    <row r="2" spans="1:31" s="1" customFormat="1" ht="17.55" customHeight="1">
      <c r="A2" s="21" t="s">
        <v>47</v>
      </c>
      <c r="B2" s="3">
        <v>32</v>
      </c>
      <c r="C2" s="4">
        <v>33</v>
      </c>
      <c r="D2" s="5">
        <v>34</v>
      </c>
      <c r="E2" s="5">
        <v>35</v>
      </c>
      <c r="F2" s="5">
        <v>36</v>
      </c>
      <c r="G2" s="5">
        <v>37</v>
      </c>
      <c r="H2" s="5">
        <v>38</v>
      </c>
      <c r="I2" s="5">
        <v>39</v>
      </c>
      <c r="J2" s="5">
        <v>40</v>
      </c>
      <c r="K2" s="5">
        <v>41</v>
      </c>
      <c r="L2" s="5">
        <v>42</v>
      </c>
      <c r="M2" s="5">
        <v>43</v>
      </c>
      <c r="N2" s="5">
        <v>44</v>
      </c>
      <c r="O2" s="5">
        <v>45</v>
      </c>
      <c r="P2" s="5">
        <v>46</v>
      </c>
      <c r="Q2" s="5">
        <v>47</v>
      </c>
      <c r="R2" s="5">
        <v>48</v>
      </c>
      <c r="S2" s="5">
        <v>49</v>
      </c>
      <c r="T2" s="5">
        <v>50</v>
      </c>
      <c r="U2" s="5">
        <v>51</v>
      </c>
      <c r="V2" s="5">
        <v>52</v>
      </c>
      <c r="W2" s="5">
        <v>53</v>
      </c>
      <c r="X2" s="5">
        <v>54</v>
      </c>
      <c r="Y2" s="5">
        <v>55</v>
      </c>
      <c r="Z2" s="5">
        <v>56</v>
      </c>
      <c r="AA2" s="5">
        <v>57</v>
      </c>
      <c r="AB2" s="5">
        <v>58</v>
      </c>
      <c r="AC2" s="5">
        <v>59</v>
      </c>
      <c r="AD2" s="5">
        <v>60</v>
      </c>
      <c r="AE2" s="16" t="s">
        <v>48</v>
      </c>
    </row>
    <row r="3" spans="1:31" s="1" customFormat="1" ht="10.8" customHeight="1">
      <c r="A3" s="19" t="s">
        <v>49</v>
      </c>
      <c r="B3" s="17">
        <v>40.9</v>
      </c>
      <c r="C3" s="17">
        <v>41.2</v>
      </c>
      <c r="D3" s="17">
        <v>41.5</v>
      </c>
      <c r="E3" s="17">
        <v>41.8</v>
      </c>
      <c r="F3" s="17">
        <v>42.1</v>
      </c>
      <c r="G3" s="17">
        <v>42.4</v>
      </c>
      <c r="H3" s="17">
        <v>42.7</v>
      </c>
      <c r="I3" s="17">
        <v>43</v>
      </c>
      <c r="J3" s="17">
        <v>43.3</v>
      </c>
      <c r="K3" s="17">
        <v>43.6</v>
      </c>
      <c r="L3" s="17">
        <v>43.9</v>
      </c>
      <c r="M3" s="17">
        <v>44.2</v>
      </c>
      <c r="N3" s="17">
        <v>44.5</v>
      </c>
      <c r="O3" s="17">
        <v>44.8</v>
      </c>
      <c r="P3" s="17">
        <v>45.1</v>
      </c>
      <c r="Q3" s="17">
        <v>45.4</v>
      </c>
      <c r="R3" s="17">
        <v>45.7</v>
      </c>
      <c r="S3" s="17">
        <v>46</v>
      </c>
      <c r="T3" s="17">
        <v>46.3</v>
      </c>
      <c r="U3" s="17">
        <v>46.6</v>
      </c>
      <c r="V3" s="17">
        <v>46.9</v>
      </c>
      <c r="W3" s="17">
        <v>47.2</v>
      </c>
      <c r="X3" s="17">
        <v>47.5</v>
      </c>
      <c r="Y3" s="17">
        <v>47.8</v>
      </c>
      <c r="Z3" s="17">
        <v>48.1</v>
      </c>
      <c r="AA3" s="17">
        <v>48.4</v>
      </c>
      <c r="AB3" s="17">
        <v>48.7</v>
      </c>
      <c r="AC3" s="17">
        <v>49</v>
      </c>
      <c r="AD3" s="17">
        <v>49.3</v>
      </c>
      <c r="AE3" s="18">
        <v>1.2</v>
      </c>
    </row>
    <row r="4" spans="1:31" s="1" customFormat="1" ht="10.8" customHeight="1">
      <c r="A4" s="19" t="s">
        <v>50</v>
      </c>
      <c r="B4" s="17">
        <v>74</v>
      </c>
      <c r="C4" s="17">
        <v>74</v>
      </c>
      <c r="D4" s="17">
        <v>74</v>
      </c>
      <c r="E4" s="17">
        <v>74</v>
      </c>
      <c r="F4" s="17">
        <v>74</v>
      </c>
      <c r="G4" s="17">
        <v>74</v>
      </c>
      <c r="H4" s="17">
        <v>74</v>
      </c>
      <c r="I4" s="17">
        <v>74</v>
      </c>
      <c r="J4" s="17">
        <v>74</v>
      </c>
      <c r="K4" s="17">
        <v>74</v>
      </c>
      <c r="L4" s="17">
        <v>74</v>
      </c>
      <c r="M4" s="17">
        <v>74</v>
      </c>
      <c r="N4" s="17">
        <v>74</v>
      </c>
      <c r="O4" s="17">
        <v>74</v>
      </c>
      <c r="P4" s="17">
        <v>74</v>
      </c>
      <c r="Q4" s="17">
        <v>74</v>
      </c>
      <c r="R4" s="17">
        <v>74</v>
      </c>
      <c r="S4" s="17">
        <v>74</v>
      </c>
      <c r="T4" s="17">
        <v>74</v>
      </c>
      <c r="U4" s="17">
        <v>74</v>
      </c>
      <c r="V4" s="17">
        <v>74</v>
      </c>
      <c r="W4" s="17">
        <v>74</v>
      </c>
      <c r="X4" s="17">
        <v>74</v>
      </c>
      <c r="Y4" s="17">
        <v>74</v>
      </c>
      <c r="Z4" s="17">
        <v>74</v>
      </c>
      <c r="AA4" s="17">
        <v>74</v>
      </c>
      <c r="AB4" s="17">
        <v>74</v>
      </c>
      <c r="AC4" s="17">
        <v>74</v>
      </c>
      <c r="AD4" s="17">
        <v>74</v>
      </c>
      <c r="AE4" s="18">
        <v>1.2</v>
      </c>
    </row>
    <row r="5" spans="1:31" s="1" customFormat="1" ht="10.8" customHeight="1">
      <c r="A5" s="19" t="s">
        <v>51</v>
      </c>
      <c r="B5" s="17">
        <v>38.5</v>
      </c>
      <c r="C5" s="17">
        <v>39.5</v>
      </c>
      <c r="D5" s="17">
        <v>40.5</v>
      </c>
      <c r="E5" s="17">
        <v>41.5</v>
      </c>
      <c r="F5" s="17">
        <v>42.5</v>
      </c>
      <c r="G5" s="17">
        <v>43.5</v>
      </c>
      <c r="H5" s="17">
        <v>44.5</v>
      </c>
      <c r="I5" s="17">
        <v>45.5</v>
      </c>
      <c r="J5" s="17">
        <v>46.5</v>
      </c>
      <c r="K5" s="17">
        <v>47.5</v>
      </c>
      <c r="L5" s="17">
        <v>48.5</v>
      </c>
      <c r="M5" s="17">
        <v>49.5</v>
      </c>
      <c r="N5" s="17">
        <v>50.5</v>
      </c>
      <c r="O5" s="17">
        <v>51.5</v>
      </c>
      <c r="P5" s="17">
        <v>52.5</v>
      </c>
      <c r="Q5" s="17">
        <v>53.5</v>
      </c>
      <c r="R5" s="17">
        <v>54.5</v>
      </c>
      <c r="S5" s="17">
        <v>55.5</v>
      </c>
      <c r="T5" s="17">
        <v>56.5</v>
      </c>
      <c r="U5" s="17">
        <v>57.5</v>
      </c>
      <c r="V5" s="17">
        <v>58.5</v>
      </c>
      <c r="W5" s="17">
        <v>59.5</v>
      </c>
      <c r="X5" s="17">
        <v>60.5</v>
      </c>
      <c r="Y5" s="17">
        <v>61.5</v>
      </c>
      <c r="Z5" s="17">
        <v>62.5</v>
      </c>
      <c r="AA5" s="17">
        <v>63.5</v>
      </c>
      <c r="AB5" s="17">
        <v>64.5</v>
      </c>
      <c r="AC5" s="17">
        <v>65.5</v>
      </c>
      <c r="AD5" s="17">
        <v>66.5</v>
      </c>
      <c r="AE5" s="18">
        <v>1</v>
      </c>
    </row>
    <row r="6" spans="1:31" s="1" customFormat="1" ht="10.8" customHeight="1">
      <c r="A6" s="19" t="s">
        <v>52</v>
      </c>
      <c r="B6" s="17">
        <v>36.5</v>
      </c>
      <c r="C6" s="17">
        <v>37.5</v>
      </c>
      <c r="D6" s="17">
        <v>38.5</v>
      </c>
      <c r="E6" s="17">
        <v>39.5</v>
      </c>
      <c r="F6" s="17">
        <v>40.5</v>
      </c>
      <c r="G6" s="17">
        <v>41.5</v>
      </c>
      <c r="H6" s="17">
        <v>42.5</v>
      </c>
      <c r="I6" s="17">
        <v>43.5</v>
      </c>
      <c r="J6" s="17">
        <v>44.5</v>
      </c>
      <c r="K6" s="17">
        <v>45.5</v>
      </c>
      <c r="L6" s="17">
        <v>46.5</v>
      </c>
      <c r="M6" s="17">
        <v>47.5</v>
      </c>
      <c r="N6" s="17">
        <v>48.5</v>
      </c>
      <c r="O6" s="17">
        <v>49.5</v>
      </c>
      <c r="P6" s="17">
        <v>50.5</v>
      </c>
      <c r="Q6" s="17">
        <v>51.5</v>
      </c>
      <c r="R6" s="17">
        <v>52.5</v>
      </c>
      <c r="S6" s="17">
        <v>53.5</v>
      </c>
      <c r="T6" s="17">
        <v>54.5</v>
      </c>
      <c r="U6" s="17">
        <v>55.5</v>
      </c>
      <c r="V6" s="17">
        <v>56.5</v>
      </c>
      <c r="W6" s="17">
        <v>57.5</v>
      </c>
      <c r="X6" s="17">
        <v>58.5</v>
      </c>
      <c r="Y6" s="17">
        <v>59.5</v>
      </c>
      <c r="Z6" s="17">
        <v>60.5</v>
      </c>
      <c r="AA6" s="17">
        <v>61.5</v>
      </c>
      <c r="AB6" s="17">
        <v>62.5</v>
      </c>
      <c r="AC6" s="17">
        <v>63.5</v>
      </c>
      <c r="AD6" s="17">
        <v>64.5</v>
      </c>
      <c r="AE6" s="18">
        <v>1</v>
      </c>
    </row>
    <row r="7" spans="1:31" s="1" customFormat="1" ht="10.8" customHeight="1">
      <c r="A7" s="19" t="s">
        <v>53</v>
      </c>
      <c r="B7" s="17">
        <v>91</v>
      </c>
      <c r="C7" s="17">
        <v>93.4</v>
      </c>
      <c r="D7" s="17">
        <v>96</v>
      </c>
      <c r="E7" s="17">
        <v>98.6</v>
      </c>
      <c r="F7" s="17">
        <v>101</v>
      </c>
      <c r="G7" s="17">
        <v>103.6</v>
      </c>
      <c r="H7" s="17">
        <v>106</v>
      </c>
      <c r="I7" s="17">
        <v>108.6</v>
      </c>
      <c r="J7" s="17">
        <v>111.2</v>
      </c>
      <c r="K7" s="17">
        <v>113.6</v>
      </c>
      <c r="L7" s="17">
        <v>116.2</v>
      </c>
      <c r="M7" s="17">
        <v>118.6</v>
      </c>
      <c r="N7" s="17">
        <v>121.2</v>
      </c>
      <c r="O7" s="17">
        <v>123.8</v>
      </c>
      <c r="P7" s="17">
        <v>126.2</v>
      </c>
      <c r="Q7" s="17">
        <v>128.80000000000001</v>
      </c>
      <c r="R7" s="17">
        <v>131.19999999999999</v>
      </c>
      <c r="S7" s="17">
        <v>133.80000000000001</v>
      </c>
      <c r="T7" s="17">
        <v>136.4</v>
      </c>
      <c r="U7" s="17">
        <v>138.80000000000001</v>
      </c>
      <c r="V7" s="17">
        <v>141.4</v>
      </c>
      <c r="W7" s="17">
        <v>143.80000000000001</v>
      </c>
      <c r="X7" s="17">
        <v>146.4</v>
      </c>
      <c r="Y7" s="17">
        <v>149</v>
      </c>
      <c r="Z7" s="17">
        <v>151.4</v>
      </c>
      <c r="AA7" s="17">
        <v>154</v>
      </c>
      <c r="AB7" s="17">
        <v>156.4</v>
      </c>
      <c r="AC7" s="17">
        <v>159</v>
      </c>
      <c r="AD7" s="17">
        <v>161.6</v>
      </c>
      <c r="AE7" s="18">
        <v>1.2</v>
      </c>
    </row>
    <row r="8" spans="1:31" s="1" customFormat="1" ht="10.8" customHeight="1">
      <c r="A8" s="19" t="s">
        <v>54</v>
      </c>
      <c r="B8" s="17">
        <v>85.8</v>
      </c>
      <c r="C8" s="17">
        <v>88.4</v>
      </c>
      <c r="D8" s="17">
        <v>91</v>
      </c>
      <c r="E8" s="17">
        <v>93.6</v>
      </c>
      <c r="F8" s="17">
        <v>96.2</v>
      </c>
      <c r="G8" s="17">
        <v>98.8</v>
      </c>
      <c r="H8" s="17">
        <v>101.4</v>
      </c>
      <c r="I8" s="17">
        <v>104</v>
      </c>
      <c r="J8" s="17">
        <v>106.6</v>
      </c>
      <c r="K8" s="17">
        <v>109.2</v>
      </c>
      <c r="L8" s="17">
        <v>111.8</v>
      </c>
      <c r="M8" s="17">
        <v>114.4</v>
      </c>
      <c r="N8" s="17">
        <v>117</v>
      </c>
      <c r="O8" s="17">
        <v>119.6</v>
      </c>
      <c r="P8" s="17">
        <v>122.2</v>
      </c>
      <c r="Q8" s="17">
        <v>124.8</v>
      </c>
      <c r="R8" s="17">
        <v>127.4</v>
      </c>
      <c r="S8" s="17">
        <v>130</v>
      </c>
      <c r="T8" s="17">
        <v>132.6</v>
      </c>
      <c r="U8" s="17">
        <v>135.19999999999999</v>
      </c>
      <c r="V8" s="17">
        <v>137.80000000000001</v>
      </c>
      <c r="W8" s="17">
        <v>140.4</v>
      </c>
      <c r="X8" s="17">
        <v>143</v>
      </c>
      <c r="Y8" s="17">
        <v>145.6</v>
      </c>
      <c r="Z8" s="17">
        <v>148.19999999999999</v>
      </c>
      <c r="AA8" s="17">
        <v>150.80000000000001</v>
      </c>
      <c r="AB8" s="17">
        <v>153.4</v>
      </c>
      <c r="AC8" s="17">
        <v>156</v>
      </c>
      <c r="AD8" s="17">
        <v>158.6</v>
      </c>
      <c r="AE8" s="18">
        <v>1</v>
      </c>
    </row>
    <row r="9" spans="1:31" s="1" customFormat="1" ht="10.8" customHeight="1">
      <c r="A9" s="19" t="s">
        <v>55</v>
      </c>
      <c r="B9" s="17">
        <v>94.8</v>
      </c>
      <c r="C9" s="17">
        <v>97.4</v>
      </c>
      <c r="D9" s="17">
        <v>100</v>
      </c>
      <c r="E9" s="17">
        <v>102.6</v>
      </c>
      <c r="F9" s="17">
        <v>105.2</v>
      </c>
      <c r="G9" s="17">
        <v>107.8</v>
      </c>
      <c r="H9" s="17">
        <v>110.4</v>
      </c>
      <c r="I9" s="17">
        <v>113</v>
      </c>
      <c r="J9" s="17">
        <v>115.6</v>
      </c>
      <c r="K9" s="17">
        <v>118.2</v>
      </c>
      <c r="L9" s="17">
        <v>120.8</v>
      </c>
      <c r="M9" s="17">
        <v>123.4</v>
      </c>
      <c r="N9" s="17">
        <v>126</v>
      </c>
      <c r="O9" s="17">
        <v>128.6</v>
      </c>
      <c r="P9" s="17">
        <v>131.19999999999999</v>
      </c>
      <c r="Q9" s="17">
        <v>133.80000000000001</v>
      </c>
      <c r="R9" s="17">
        <v>136.4</v>
      </c>
      <c r="S9" s="17">
        <v>139</v>
      </c>
      <c r="T9" s="17">
        <v>141.6</v>
      </c>
      <c r="U9" s="17">
        <v>144.19999999999999</v>
      </c>
      <c r="V9" s="17">
        <v>146.80000000000001</v>
      </c>
      <c r="W9" s="17">
        <v>149.4</v>
      </c>
      <c r="X9" s="17">
        <v>152</v>
      </c>
      <c r="Y9" s="17">
        <v>154.6</v>
      </c>
      <c r="Z9" s="17">
        <v>157.19999999999999</v>
      </c>
      <c r="AA9" s="17">
        <v>159.80000000000001</v>
      </c>
      <c r="AB9" s="17">
        <v>162.4</v>
      </c>
      <c r="AC9" s="17">
        <v>165</v>
      </c>
      <c r="AD9" s="17">
        <v>167.6</v>
      </c>
      <c r="AE9" s="18">
        <v>1</v>
      </c>
    </row>
    <row r="10" spans="1:31" s="1" customFormat="1" ht="10.8" customHeight="1">
      <c r="A10" s="19" t="s">
        <v>56</v>
      </c>
      <c r="B10" s="17">
        <v>13.4</v>
      </c>
      <c r="C10" s="17">
        <v>13.7</v>
      </c>
      <c r="D10" s="17">
        <v>14</v>
      </c>
      <c r="E10" s="17">
        <v>14.3</v>
      </c>
      <c r="F10" s="17">
        <v>14.6</v>
      </c>
      <c r="G10" s="17">
        <v>14.9</v>
      </c>
      <c r="H10" s="17">
        <v>15.2</v>
      </c>
      <c r="I10" s="17">
        <v>15.5</v>
      </c>
      <c r="J10" s="17">
        <v>15.8</v>
      </c>
      <c r="K10" s="17">
        <v>16.100000000000001</v>
      </c>
      <c r="L10" s="17">
        <v>16.399999999999999</v>
      </c>
      <c r="M10" s="17">
        <v>16.7</v>
      </c>
      <c r="N10" s="17">
        <v>17</v>
      </c>
      <c r="O10" s="17">
        <v>17.3</v>
      </c>
      <c r="P10" s="17">
        <v>17.600000000000001</v>
      </c>
      <c r="Q10" s="17">
        <v>17.899999999999999</v>
      </c>
      <c r="R10" s="17">
        <v>18.2</v>
      </c>
      <c r="S10" s="17">
        <v>18.5</v>
      </c>
      <c r="T10" s="17">
        <v>18.8</v>
      </c>
      <c r="U10" s="17">
        <v>19.100000000000001</v>
      </c>
      <c r="V10" s="17">
        <v>19.399999999999999</v>
      </c>
      <c r="W10" s="17">
        <v>19.7</v>
      </c>
      <c r="X10" s="17">
        <v>20</v>
      </c>
      <c r="Y10" s="17">
        <v>20.3</v>
      </c>
      <c r="Z10" s="17">
        <v>20.6</v>
      </c>
      <c r="AA10" s="17">
        <v>20.9</v>
      </c>
      <c r="AB10" s="17">
        <v>21.2</v>
      </c>
      <c r="AC10" s="17">
        <v>21.5</v>
      </c>
      <c r="AD10" s="17">
        <v>21.8</v>
      </c>
      <c r="AE10" s="18">
        <v>0.5</v>
      </c>
    </row>
    <row r="11" spans="1:31" s="1" customFormat="1" ht="10.8" customHeight="1">
      <c r="A11" s="19" t="s">
        <v>57</v>
      </c>
      <c r="B11" s="17">
        <f t="shared" ref="B11:E11" si="0">+C11-0.5</f>
        <v>58.5</v>
      </c>
      <c r="C11" s="17">
        <f t="shared" si="0"/>
        <v>59</v>
      </c>
      <c r="D11" s="17">
        <f t="shared" si="0"/>
        <v>59.5</v>
      </c>
      <c r="E11" s="17">
        <f t="shared" si="0"/>
        <v>60</v>
      </c>
      <c r="F11" s="17">
        <f>+G11-0.5</f>
        <v>60.5</v>
      </c>
      <c r="G11" s="17">
        <f>+H11-1</f>
        <v>61</v>
      </c>
      <c r="H11" s="17">
        <v>62</v>
      </c>
      <c r="I11" s="17">
        <f>+H11+0.5</f>
        <v>62.5</v>
      </c>
      <c r="J11" s="17">
        <f t="shared" ref="J11:U11" si="1">+I11+0.5</f>
        <v>63</v>
      </c>
      <c r="K11" s="17">
        <f t="shared" si="1"/>
        <v>63.5</v>
      </c>
      <c r="L11" s="17">
        <f t="shared" si="1"/>
        <v>64</v>
      </c>
      <c r="M11" s="17">
        <f t="shared" si="1"/>
        <v>64.5</v>
      </c>
      <c r="N11" s="17">
        <f t="shared" si="1"/>
        <v>65</v>
      </c>
      <c r="O11" s="17">
        <f t="shared" si="1"/>
        <v>65.5</v>
      </c>
      <c r="P11" s="17">
        <f t="shared" si="1"/>
        <v>66</v>
      </c>
      <c r="Q11" s="17">
        <f t="shared" si="1"/>
        <v>66.5</v>
      </c>
      <c r="R11" s="17">
        <f t="shared" si="1"/>
        <v>67</v>
      </c>
      <c r="S11" s="17">
        <f t="shared" si="1"/>
        <v>67.5</v>
      </c>
      <c r="T11" s="17">
        <f t="shared" si="1"/>
        <v>68</v>
      </c>
      <c r="U11" s="17">
        <f t="shared" si="1"/>
        <v>68.5</v>
      </c>
      <c r="V11" s="17">
        <v>68.5</v>
      </c>
      <c r="W11" s="17">
        <v>68.5</v>
      </c>
      <c r="X11" s="17">
        <v>68.5</v>
      </c>
      <c r="Y11" s="17">
        <v>68.5</v>
      </c>
      <c r="Z11" s="17">
        <v>68.5</v>
      </c>
      <c r="AA11" s="17">
        <v>68.5</v>
      </c>
      <c r="AB11" s="17">
        <v>68.5</v>
      </c>
      <c r="AC11" s="17">
        <v>68.5</v>
      </c>
      <c r="AD11" s="17">
        <v>68.5</v>
      </c>
      <c r="AE11" s="18">
        <v>1</v>
      </c>
    </row>
    <row r="12" spans="1:31" s="1" customFormat="1" ht="10.8" customHeight="1">
      <c r="A12" s="19" t="s">
        <v>58</v>
      </c>
      <c r="B12" s="17">
        <v>19.100000000000001</v>
      </c>
      <c r="C12" s="17">
        <v>19.3</v>
      </c>
      <c r="D12" s="17">
        <v>19.5</v>
      </c>
      <c r="E12" s="17">
        <v>19.7</v>
      </c>
      <c r="F12" s="17">
        <v>19.899999999999999</v>
      </c>
      <c r="G12" s="17">
        <v>20.100000000000001</v>
      </c>
      <c r="H12" s="17">
        <v>20.399999999999999</v>
      </c>
      <c r="I12" s="17">
        <v>20.6</v>
      </c>
      <c r="J12" s="17">
        <v>20.8</v>
      </c>
      <c r="K12" s="17">
        <v>21</v>
      </c>
      <c r="L12" s="17">
        <v>21.2</v>
      </c>
      <c r="M12" s="17">
        <v>21.4</v>
      </c>
      <c r="N12" s="17">
        <v>21.6</v>
      </c>
      <c r="O12" s="17">
        <v>21.8</v>
      </c>
      <c r="P12" s="17">
        <v>22.1</v>
      </c>
      <c r="Q12" s="17">
        <v>22.3</v>
      </c>
      <c r="R12" s="17">
        <v>22.5</v>
      </c>
      <c r="S12" s="17">
        <v>22.7</v>
      </c>
      <c r="T12" s="17">
        <v>22.9</v>
      </c>
      <c r="U12" s="17">
        <v>23.1</v>
      </c>
      <c r="V12" s="17">
        <v>23.3</v>
      </c>
      <c r="W12" s="17">
        <v>23.5</v>
      </c>
      <c r="X12" s="17">
        <v>23.8</v>
      </c>
      <c r="Y12" s="17">
        <v>24</v>
      </c>
      <c r="Z12" s="17">
        <v>24.2</v>
      </c>
      <c r="AA12" s="17">
        <v>24.4</v>
      </c>
      <c r="AB12" s="17">
        <v>24.6</v>
      </c>
      <c r="AC12" s="17">
        <v>24.8</v>
      </c>
      <c r="AD12" s="17">
        <v>25.1</v>
      </c>
      <c r="AE12" s="18">
        <v>1</v>
      </c>
    </row>
    <row r="13" spans="1:31" s="1" customFormat="1" ht="10.8" customHeight="1">
      <c r="A13" s="19" t="s">
        <v>59</v>
      </c>
      <c r="B13" s="17">
        <v>32.299999999999997</v>
      </c>
      <c r="C13" s="17">
        <v>33.1</v>
      </c>
      <c r="D13" s="17">
        <v>34</v>
      </c>
      <c r="E13" s="17">
        <v>34.9</v>
      </c>
      <c r="F13" s="17">
        <v>35.799999999999997</v>
      </c>
      <c r="G13" s="17">
        <v>36.6</v>
      </c>
      <c r="H13" s="17">
        <v>37.5</v>
      </c>
      <c r="I13" s="17">
        <v>38.4</v>
      </c>
      <c r="J13" s="17">
        <v>39.299999999999997</v>
      </c>
      <c r="K13" s="17">
        <v>40.1</v>
      </c>
      <c r="L13" s="17">
        <v>41</v>
      </c>
      <c r="M13" s="17">
        <v>41.9</v>
      </c>
      <c r="N13" s="17">
        <v>42.8</v>
      </c>
      <c r="O13" s="17">
        <v>43.6</v>
      </c>
      <c r="P13" s="17">
        <v>44.5</v>
      </c>
      <c r="Q13" s="17">
        <v>45.4</v>
      </c>
      <c r="R13" s="17">
        <v>46.3</v>
      </c>
      <c r="S13" s="17">
        <v>47.1</v>
      </c>
      <c r="T13" s="17">
        <v>48</v>
      </c>
      <c r="U13" s="17">
        <v>48.9</v>
      </c>
      <c r="V13" s="17">
        <v>49.8</v>
      </c>
      <c r="W13" s="17">
        <v>50.6</v>
      </c>
      <c r="X13" s="17">
        <v>51.5</v>
      </c>
      <c r="Y13" s="17">
        <v>52.4</v>
      </c>
      <c r="Z13" s="17">
        <v>53.3</v>
      </c>
      <c r="AA13" s="17">
        <v>54.1</v>
      </c>
      <c r="AB13" s="17">
        <v>55</v>
      </c>
      <c r="AC13" s="17">
        <v>55.9</v>
      </c>
      <c r="AD13" s="17">
        <v>56.8</v>
      </c>
      <c r="AE13" s="18">
        <v>1</v>
      </c>
    </row>
    <row r="14" spans="1:31" s="1" customFormat="1" ht="10.8" customHeight="1">
      <c r="A14" s="19" t="s">
        <v>60</v>
      </c>
      <c r="B14" s="17">
        <v>24</v>
      </c>
      <c r="C14" s="17">
        <v>24.3</v>
      </c>
      <c r="D14" s="17">
        <v>24.5</v>
      </c>
      <c r="E14" s="17">
        <v>24.8</v>
      </c>
      <c r="F14" s="17">
        <v>25</v>
      </c>
      <c r="G14" s="17">
        <v>25.3</v>
      </c>
      <c r="H14" s="17">
        <v>25.5</v>
      </c>
      <c r="I14" s="17">
        <v>25.8</v>
      </c>
      <c r="J14" s="17">
        <v>26</v>
      </c>
      <c r="K14" s="17">
        <v>26.3</v>
      </c>
      <c r="L14" s="17">
        <v>26.5</v>
      </c>
      <c r="M14" s="17">
        <v>26.8</v>
      </c>
      <c r="N14" s="17">
        <v>27</v>
      </c>
      <c r="O14" s="17">
        <v>27.3</v>
      </c>
      <c r="P14" s="17">
        <v>27.5</v>
      </c>
      <c r="Q14" s="17">
        <v>27.8</v>
      </c>
      <c r="R14" s="17">
        <v>28</v>
      </c>
      <c r="S14" s="17">
        <v>28.3</v>
      </c>
      <c r="T14" s="17">
        <v>28.5</v>
      </c>
      <c r="U14" s="17">
        <v>28.8</v>
      </c>
      <c r="V14" s="17">
        <v>29</v>
      </c>
      <c r="W14" s="17">
        <v>29.3</v>
      </c>
      <c r="X14" s="17">
        <v>29.5</v>
      </c>
      <c r="Y14" s="17">
        <v>29.8</v>
      </c>
      <c r="Z14" s="17">
        <v>30</v>
      </c>
      <c r="AA14" s="17">
        <v>30.3</v>
      </c>
      <c r="AB14" s="17">
        <v>30.5</v>
      </c>
      <c r="AC14" s="17">
        <v>30.8</v>
      </c>
      <c r="AD14" s="17">
        <v>31</v>
      </c>
      <c r="AE14" s="18">
        <v>0.5</v>
      </c>
    </row>
    <row r="15" spans="1:31" s="1" customFormat="1" ht="10.8" customHeight="1">
      <c r="A15" s="19" t="s">
        <v>61</v>
      </c>
      <c r="B15" s="17">
        <v>12.7</v>
      </c>
      <c r="C15" s="17">
        <v>12.8</v>
      </c>
      <c r="D15" s="17">
        <v>13</v>
      </c>
      <c r="E15" s="17">
        <v>13.2</v>
      </c>
      <c r="F15" s="17">
        <v>13.3</v>
      </c>
      <c r="G15" s="17">
        <v>13.5</v>
      </c>
      <c r="H15" s="17">
        <v>13.6</v>
      </c>
      <c r="I15" s="17">
        <v>13.8</v>
      </c>
      <c r="J15" s="17">
        <v>14</v>
      </c>
      <c r="K15" s="17">
        <v>14.1</v>
      </c>
      <c r="L15" s="17">
        <v>14.3</v>
      </c>
      <c r="M15" s="17">
        <v>14.4</v>
      </c>
      <c r="N15" s="17">
        <v>14.6</v>
      </c>
      <c r="O15" s="17">
        <v>14.8</v>
      </c>
      <c r="P15" s="17">
        <v>14.9</v>
      </c>
      <c r="Q15" s="17">
        <v>15.1</v>
      </c>
      <c r="R15" s="17">
        <v>15.2</v>
      </c>
      <c r="S15" s="17">
        <v>15.4</v>
      </c>
      <c r="T15" s="17">
        <v>15.6</v>
      </c>
      <c r="U15" s="17">
        <v>15.7</v>
      </c>
      <c r="V15" s="17">
        <v>15.9</v>
      </c>
      <c r="W15" s="17">
        <v>16</v>
      </c>
      <c r="X15" s="17">
        <v>16.2</v>
      </c>
      <c r="Y15" s="17">
        <v>16.399999999999999</v>
      </c>
      <c r="Z15" s="17">
        <v>16.5</v>
      </c>
      <c r="AA15" s="17">
        <v>16.7</v>
      </c>
      <c r="AB15" s="17">
        <v>16.8</v>
      </c>
      <c r="AC15" s="17">
        <v>17</v>
      </c>
      <c r="AD15" s="17">
        <v>17.2</v>
      </c>
      <c r="AE15" s="18">
        <v>0.5</v>
      </c>
    </row>
    <row r="16" spans="1:31" s="1" customFormat="1" ht="10.8" customHeight="1">
      <c r="A16" s="19" t="s">
        <v>62</v>
      </c>
      <c r="B16" s="17">
        <v>76.5</v>
      </c>
      <c r="C16" s="17">
        <v>76.5</v>
      </c>
      <c r="D16" s="17">
        <v>76.5</v>
      </c>
      <c r="E16" s="17">
        <v>76.5</v>
      </c>
      <c r="F16" s="17">
        <v>76.5</v>
      </c>
      <c r="G16" s="17">
        <v>76.5</v>
      </c>
      <c r="H16" s="17">
        <v>76.5</v>
      </c>
      <c r="I16" s="17">
        <v>76.5</v>
      </c>
      <c r="J16" s="17">
        <v>76.5</v>
      </c>
      <c r="K16" s="17">
        <v>76.5</v>
      </c>
      <c r="L16" s="17">
        <v>76.5</v>
      </c>
      <c r="M16" s="17">
        <v>76.5</v>
      </c>
      <c r="N16" s="17">
        <v>76.5</v>
      </c>
      <c r="O16" s="17">
        <v>76.5</v>
      </c>
      <c r="P16" s="17">
        <v>76.5</v>
      </c>
      <c r="Q16" s="17">
        <v>76.5</v>
      </c>
      <c r="R16" s="17">
        <v>76.5</v>
      </c>
      <c r="S16" s="17">
        <v>76.5</v>
      </c>
      <c r="T16" s="17">
        <v>76.5</v>
      </c>
      <c r="U16" s="17">
        <v>76.5</v>
      </c>
      <c r="V16" s="17">
        <v>76.5</v>
      </c>
      <c r="W16" s="17">
        <v>76.5</v>
      </c>
      <c r="X16" s="17">
        <v>76.5</v>
      </c>
      <c r="Y16" s="17">
        <v>76.5</v>
      </c>
      <c r="Z16" s="17">
        <v>76.5</v>
      </c>
      <c r="AA16" s="17">
        <v>76.5</v>
      </c>
      <c r="AB16" s="17">
        <v>76.5</v>
      </c>
      <c r="AC16" s="17">
        <v>76.5</v>
      </c>
      <c r="AD16" s="17">
        <v>76.5</v>
      </c>
      <c r="AE16" s="18">
        <v>1</v>
      </c>
    </row>
    <row r="18" spans="2:30"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</row>
    <row r="19" spans="2:30"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22FA-E3E4-40BB-9FE3-A7743254E016}">
  <dimension ref="A1:K3"/>
  <sheetViews>
    <sheetView workbookViewId="0">
      <selection activeCell="E25" sqref="E25"/>
    </sheetView>
  </sheetViews>
  <sheetFormatPr baseColWidth="10" defaultRowHeight="14.4"/>
  <cols>
    <col min="1" max="1" width="19.77734375" bestFit="1" customWidth="1"/>
  </cols>
  <sheetData>
    <row r="1" spans="1:11">
      <c r="A1" s="1"/>
      <c r="B1" s="43" t="s">
        <v>32</v>
      </c>
      <c r="C1" s="42" t="s">
        <v>33</v>
      </c>
      <c r="D1" s="43" t="s">
        <v>34</v>
      </c>
      <c r="E1" s="42" t="s">
        <v>35</v>
      </c>
      <c r="F1" s="43" t="s">
        <v>36</v>
      </c>
      <c r="G1" s="42" t="s">
        <v>37</v>
      </c>
      <c r="H1" s="43" t="s">
        <v>38</v>
      </c>
      <c r="I1" s="42" t="s">
        <v>39</v>
      </c>
      <c r="J1" s="43" t="s">
        <v>40</v>
      </c>
      <c r="K1" s="42" t="s">
        <v>41</v>
      </c>
    </row>
    <row r="2" spans="1:11">
      <c r="A2" s="1"/>
      <c r="B2" s="10">
        <v>14</v>
      </c>
      <c r="C2" s="11">
        <v>14.5</v>
      </c>
      <c r="D2" s="12">
        <v>15</v>
      </c>
      <c r="E2" s="12">
        <v>15.5</v>
      </c>
      <c r="F2" s="12">
        <v>16</v>
      </c>
      <c r="G2" s="12">
        <v>16.5</v>
      </c>
      <c r="H2" s="12">
        <v>17</v>
      </c>
      <c r="I2" s="12">
        <v>17.5</v>
      </c>
      <c r="J2" s="12">
        <v>18</v>
      </c>
      <c r="K2" s="12">
        <v>18.5</v>
      </c>
    </row>
    <row r="3" spans="1:11">
      <c r="A3" s="6" t="s">
        <v>63</v>
      </c>
      <c r="B3" s="1" t="s">
        <v>148</v>
      </c>
      <c r="C3" s="1" t="s">
        <v>149</v>
      </c>
      <c r="D3" s="1" t="s">
        <v>150</v>
      </c>
      <c r="E3" s="1" t="s">
        <v>151</v>
      </c>
      <c r="F3" s="1" t="s">
        <v>152</v>
      </c>
      <c r="G3" s="1" t="s">
        <v>153</v>
      </c>
      <c r="H3" s="1" t="s">
        <v>154</v>
      </c>
      <c r="I3" s="1" t="s">
        <v>155</v>
      </c>
      <c r="J3" s="1" t="s">
        <v>156</v>
      </c>
      <c r="K3" s="1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E844-E3E3-47FB-9141-63B628CC256F}">
  <dimension ref="A1:K12"/>
  <sheetViews>
    <sheetView tabSelected="1" zoomScale="115" workbookViewId="0">
      <selection activeCell="D27" sqref="D27"/>
    </sheetView>
  </sheetViews>
  <sheetFormatPr baseColWidth="10" defaultRowHeight="14.4"/>
  <cols>
    <col min="1" max="1" width="25.6640625" bestFit="1" customWidth="1"/>
  </cols>
  <sheetData>
    <row r="1" spans="1:11">
      <c r="A1" s="36"/>
      <c r="B1" s="37" t="s">
        <v>32</v>
      </c>
      <c r="C1" s="37" t="s">
        <v>33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  <c r="I1" s="37" t="s">
        <v>39</v>
      </c>
      <c r="J1" s="37" t="s">
        <v>40</v>
      </c>
      <c r="K1" s="37" t="s">
        <v>41</v>
      </c>
    </row>
    <row r="2" spans="1:11">
      <c r="A2" s="38" t="s">
        <v>47</v>
      </c>
      <c r="B2" s="41">
        <v>14</v>
      </c>
      <c r="C2" s="40">
        <v>14.5</v>
      </c>
      <c r="D2" s="44">
        <v>15</v>
      </c>
      <c r="E2" s="44">
        <v>15.5</v>
      </c>
      <c r="F2" s="44">
        <v>16</v>
      </c>
      <c r="G2" s="44">
        <v>16.5</v>
      </c>
      <c r="H2" s="44">
        <v>17</v>
      </c>
      <c r="I2" s="44">
        <v>17.5</v>
      </c>
      <c r="J2" s="44">
        <v>18</v>
      </c>
      <c r="K2" s="44">
        <v>18.5</v>
      </c>
    </row>
    <row r="3" spans="1:11">
      <c r="A3" s="39" t="s">
        <v>138</v>
      </c>
      <c r="B3" s="17">
        <v>16.5</v>
      </c>
      <c r="C3" s="17">
        <v>17</v>
      </c>
      <c r="D3" s="17">
        <v>17.5</v>
      </c>
      <c r="E3" s="17">
        <v>18</v>
      </c>
      <c r="F3" s="17">
        <v>18.5</v>
      </c>
      <c r="G3" s="17">
        <v>19</v>
      </c>
      <c r="H3" s="17">
        <v>19.5</v>
      </c>
      <c r="I3" s="17">
        <v>20</v>
      </c>
      <c r="J3" s="17">
        <v>20.5</v>
      </c>
      <c r="K3" s="17">
        <v>21</v>
      </c>
    </row>
    <row r="4" spans="1:11">
      <c r="A4" s="39" t="s">
        <v>139</v>
      </c>
      <c r="B4" s="17">
        <v>18.5</v>
      </c>
      <c r="C4" s="17">
        <v>19</v>
      </c>
      <c r="D4" s="17">
        <v>19.5</v>
      </c>
      <c r="E4" s="17">
        <v>20</v>
      </c>
      <c r="F4" s="17">
        <v>20</v>
      </c>
      <c r="G4" s="17">
        <v>20.5</v>
      </c>
      <c r="H4" s="17">
        <v>20.5</v>
      </c>
      <c r="I4" s="17">
        <v>21</v>
      </c>
      <c r="J4" s="17">
        <v>21</v>
      </c>
      <c r="K4" s="17">
        <v>21</v>
      </c>
    </row>
    <row r="5" spans="1:11">
      <c r="A5" s="39" t="s">
        <v>140</v>
      </c>
      <c r="B5" s="17">
        <v>57</v>
      </c>
      <c r="C5" s="17">
        <v>59</v>
      </c>
      <c r="D5" s="17">
        <v>61</v>
      </c>
      <c r="E5" s="17">
        <v>63</v>
      </c>
      <c r="F5" s="17">
        <v>65</v>
      </c>
      <c r="G5" s="17">
        <v>67</v>
      </c>
      <c r="H5" s="17">
        <v>69</v>
      </c>
      <c r="I5" s="17">
        <v>71</v>
      </c>
      <c r="J5" s="17">
        <v>73</v>
      </c>
      <c r="K5" s="17">
        <v>75</v>
      </c>
    </row>
    <row r="6" spans="1:11">
      <c r="A6" s="39" t="s">
        <v>141</v>
      </c>
      <c r="B6" s="17">
        <v>34.5</v>
      </c>
      <c r="C6" s="17">
        <v>36</v>
      </c>
      <c r="D6" s="17">
        <v>37.5</v>
      </c>
      <c r="E6" s="17">
        <v>39</v>
      </c>
      <c r="F6" s="17">
        <v>40.5</v>
      </c>
      <c r="G6" s="17">
        <v>42</v>
      </c>
      <c r="H6" s="17">
        <v>43.5</v>
      </c>
      <c r="I6" s="17">
        <v>45</v>
      </c>
      <c r="J6" s="17">
        <v>46.5</v>
      </c>
      <c r="K6" s="17">
        <v>48</v>
      </c>
    </row>
    <row r="7" spans="1:11">
      <c r="A7" s="39" t="s">
        <v>142</v>
      </c>
      <c r="B7" s="17">
        <v>94</v>
      </c>
      <c r="C7" s="17">
        <v>98</v>
      </c>
      <c r="D7" s="17">
        <v>102</v>
      </c>
      <c r="E7" s="17">
        <v>106</v>
      </c>
      <c r="F7" s="17">
        <v>110</v>
      </c>
      <c r="G7" s="17">
        <v>114</v>
      </c>
      <c r="H7" s="17">
        <v>118</v>
      </c>
      <c r="I7" s="17">
        <v>122</v>
      </c>
      <c r="J7" s="17">
        <v>126</v>
      </c>
      <c r="K7" s="17">
        <v>130</v>
      </c>
    </row>
    <row r="8" spans="1:11">
      <c r="A8" s="39" t="s">
        <v>143</v>
      </c>
      <c r="B8" s="17">
        <v>72</v>
      </c>
      <c r="C8" s="17">
        <v>76</v>
      </c>
      <c r="D8" s="17">
        <v>80</v>
      </c>
      <c r="E8" s="17">
        <v>84</v>
      </c>
      <c r="F8" s="17">
        <v>88</v>
      </c>
      <c r="G8" s="17">
        <v>92</v>
      </c>
      <c r="H8" s="17">
        <v>96</v>
      </c>
      <c r="I8" s="17">
        <v>100</v>
      </c>
      <c r="J8" s="17">
        <v>104</v>
      </c>
      <c r="K8" s="17">
        <v>108</v>
      </c>
    </row>
    <row r="9" spans="1:11">
      <c r="A9" s="39" t="s">
        <v>144</v>
      </c>
      <c r="B9" s="17">
        <v>3</v>
      </c>
      <c r="C9" s="17">
        <v>3</v>
      </c>
      <c r="D9" s="17">
        <v>3</v>
      </c>
      <c r="E9" s="17">
        <v>3</v>
      </c>
      <c r="F9" s="17">
        <v>3</v>
      </c>
      <c r="G9" s="17">
        <v>3</v>
      </c>
      <c r="H9" s="17">
        <v>3</v>
      </c>
      <c r="I9" s="17">
        <v>3</v>
      </c>
      <c r="J9" s="17">
        <v>3</v>
      </c>
      <c r="K9" s="17">
        <v>3</v>
      </c>
    </row>
    <row r="10" spans="1:11">
      <c r="A10" s="39" t="s">
        <v>145</v>
      </c>
      <c r="B10" s="17">
        <v>21</v>
      </c>
      <c r="C10" s="17">
        <v>22</v>
      </c>
      <c r="D10" s="17">
        <v>23</v>
      </c>
      <c r="E10" s="17">
        <v>24</v>
      </c>
      <c r="F10" s="17">
        <v>25</v>
      </c>
      <c r="G10" s="17">
        <v>26</v>
      </c>
      <c r="H10" s="17">
        <v>27</v>
      </c>
      <c r="I10" s="17">
        <v>27</v>
      </c>
      <c r="J10" s="17">
        <v>28</v>
      </c>
      <c r="K10" s="17">
        <v>28</v>
      </c>
    </row>
    <row r="11" spans="1:11">
      <c r="A11" s="39" t="s">
        <v>146</v>
      </c>
      <c r="B11" s="17">
        <v>6</v>
      </c>
      <c r="C11" s="17">
        <v>6</v>
      </c>
      <c r="D11" s="17">
        <v>6</v>
      </c>
      <c r="E11" s="17">
        <v>6</v>
      </c>
      <c r="F11" s="17">
        <v>6</v>
      </c>
      <c r="G11" s="17">
        <v>6</v>
      </c>
      <c r="H11" s="17">
        <v>6</v>
      </c>
      <c r="I11" s="17">
        <v>6</v>
      </c>
      <c r="J11" s="17">
        <v>6</v>
      </c>
      <c r="K11" s="17">
        <v>6</v>
      </c>
    </row>
    <row r="12" spans="1:11">
      <c r="A12" s="39" t="s">
        <v>147</v>
      </c>
      <c r="B12" s="17">
        <v>3</v>
      </c>
      <c r="C12" s="17">
        <v>3</v>
      </c>
      <c r="D12" s="17">
        <v>3</v>
      </c>
      <c r="E12" s="17">
        <v>3</v>
      </c>
      <c r="F12" s="17">
        <v>3</v>
      </c>
      <c r="G12" s="17">
        <v>3</v>
      </c>
      <c r="H12" s="17">
        <v>3</v>
      </c>
      <c r="I12" s="17">
        <v>3</v>
      </c>
      <c r="J12" s="17">
        <v>3</v>
      </c>
      <c r="K12" s="1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94BF-43B9-4D15-B2EC-0D205F221922}">
  <dimension ref="A1:Z5"/>
  <sheetViews>
    <sheetView workbookViewId="0">
      <selection activeCell="C18" sqref="C18"/>
    </sheetView>
  </sheetViews>
  <sheetFormatPr baseColWidth="10" defaultRowHeight="14.4"/>
  <cols>
    <col min="1" max="1" width="19.77734375" bestFit="1" customWidth="1"/>
    <col min="3" max="3" width="16" customWidth="1"/>
    <col min="12" max="26" width="12.77734375" bestFit="1" customWidth="1"/>
  </cols>
  <sheetData>
    <row r="1" spans="1:26">
      <c r="A1" s="1"/>
      <c r="B1" s="7" t="s">
        <v>33</v>
      </c>
      <c r="C1" s="8"/>
      <c r="D1" s="7" t="s">
        <v>34</v>
      </c>
      <c r="E1" s="8"/>
      <c r="F1" s="7" t="s">
        <v>35</v>
      </c>
      <c r="G1" s="8"/>
      <c r="H1" s="7" t="s">
        <v>36</v>
      </c>
      <c r="I1" s="8"/>
      <c r="J1" s="7" t="s">
        <v>37</v>
      </c>
      <c r="K1" s="8"/>
      <c r="L1" s="7" t="s">
        <v>38</v>
      </c>
      <c r="M1" s="8"/>
      <c r="N1" s="7" t="s">
        <v>39</v>
      </c>
      <c r="O1" s="8"/>
      <c r="P1" s="7" t="s">
        <v>40</v>
      </c>
      <c r="Q1" s="8"/>
      <c r="R1" s="7" t="s">
        <v>41</v>
      </c>
      <c r="S1" s="8"/>
      <c r="T1" s="7" t="s">
        <v>42</v>
      </c>
      <c r="U1" s="8"/>
      <c r="V1" s="34" t="s">
        <v>43</v>
      </c>
      <c r="W1" s="35"/>
      <c r="X1" s="34" t="s">
        <v>44</v>
      </c>
      <c r="Y1" s="35"/>
      <c r="Z1" s="7" t="s">
        <v>45</v>
      </c>
    </row>
    <row r="2" spans="1:26">
      <c r="A2" s="1"/>
      <c r="B2" s="10">
        <v>28</v>
      </c>
      <c r="C2" s="11">
        <v>29</v>
      </c>
      <c r="D2" s="12">
        <v>30</v>
      </c>
      <c r="E2" s="12">
        <v>31</v>
      </c>
      <c r="F2" s="12" t="s">
        <v>65</v>
      </c>
      <c r="G2" s="12">
        <v>33</v>
      </c>
      <c r="H2" s="12">
        <v>34</v>
      </c>
      <c r="I2" s="12">
        <v>35</v>
      </c>
      <c r="J2" s="12">
        <v>36</v>
      </c>
      <c r="K2" s="12">
        <v>37</v>
      </c>
      <c r="L2" s="12">
        <v>38</v>
      </c>
      <c r="M2" s="12">
        <v>39</v>
      </c>
      <c r="N2" s="12">
        <v>40</v>
      </c>
      <c r="O2" s="12">
        <v>41</v>
      </c>
      <c r="P2" s="12">
        <v>42</v>
      </c>
      <c r="Q2" s="12">
        <v>43</v>
      </c>
      <c r="R2" s="12">
        <v>44</v>
      </c>
      <c r="S2" s="12">
        <v>45</v>
      </c>
      <c r="T2" s="12">
        <v>46</v>
      </c>
      <c r="U2" s="12">
        <v>47</v>
      </c>
      <c r="V2" s="12">
        <v>48</v>
      </c>
      <c r="W2" s="12">
        <v>49</v>
      </c>
      <c r="X2" s="12">
        <v>50</v>
      </c>
      <c r="Y2" s="12">
        <v>51</v>
      </c>
      <c r="Z2" s="12">
        <v>52</v>
      </c>
    </row>
    <row r="3" spans="1:26">
      <c r="A3" s="6" t="s">
        <v>28</v>
      </c>
      <c r="B3" s="1" t="s">
        <v>66</v>
      </c>
      <c r="C3" s="1" t="s">
        <v>105</v>
      </c>
      <c r="D3" s="1" t="s">
        <v>67</v>
      </c>
      <c r="E3" s="1" t="s">
        <v>106</v>
      </c>
      <c r="F3" s="1" t="s">
        <v>68</v>
      </c>
      <c r="G3" s="1" t="s">
        <v>69</v>
      </c>
      <c r="H3" s="1" t="s">
        <v>107</v>
      </c>
      <c r="I3" s="1" t="s">
        <v>70</v>
      </c>
      <c r="J3" s="1" t="s">
        <v>108</v>
      </c>
      <c r="K3" s="1" t="s">
        <v>71</v>
      </c>
      <c r="L3" s="1" t="s">
        <v>72</v>
      </c>
      <c r="M3" s="1" t="s">
        <v>109</v>
      </c>
      <c r="N3" s="1" t="s">
        <v>73</v>
      </c>
      <c r="O3" s="1" t="s">
        <v>110</v>
      </c>
      <c r="P3" s="1" t="s">
        <v>74</v>
      </c>
      <c r="Q3" s="1" t="s">
        <v>75</v>
      </c>
      <c r="R3" s="1" t="s">
        <v>111</v>
      </c>
      <c r="S3" s="1" t="s">
        <v>29</v>
      </c>
      <c r="T3" s="1" t="s">
        <v>112</v>
      </c>
      <c r="U3" s="1" t="s">
        <v>76</v>
      </c>
      <c r="V3" s="1" t="s">
        <v>77</v>
      </c>
      <c r="W3" s="1" t="s">
        <v>113</v>
      </c>
      <c r="X3" s="1" t="s">
        <v>78</v>
      </c>
      <c r="Y3" s="1" t="s">
        <v>114</v>
      </c>
      <c r="Z3" s="1" t="s">
        <v>79</v>
      </c>
    </row>
    <row r="4" spans="1:26">
      <c r="A4" s="6" t="s">
        <v>30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92</v>
      </c>
      <c r="O4" s="1" t="s">
        <v>93</v>
      </c>
      <c r="P4" s="1" t="s">
        <v>94</v>
      </c>
      <c r="Q4" s="1" t="s">
        <v>95</v>
      </c>
      <c r="R4" s="1" t="s">
        <v>96</v>
      </c>
      <c r="S4" s="1" t="s">
        <v>97</v>
      </c>
      <c r="T4" s="1" t="s">
        <v>98</v>
      </c>
      <c r="U4" s="1" t="s">
        <v>99</v>
      </c>
      <c r="V4" s="1" t="s">
        <v>100</v>
      </c>
      <c r="W4" s="1" t="s">
        <v>101</v>
      </c>
      <c r="X4" s="1" t="s">
        <v>102</v>
      </c>
      <c r="Y4" s="1" t="s">
        <v>103</v>
      </c>
      <c r="Z4" s="1" t="s">
        <v>104</v>
      </c>
    </row>
    <row r="5" spans="1:26">
      <c r="A5" s="6" t="s">
        <v>64</v>
      </c>
      <c r="B5" s="1">
        <v>98.2</v>
      </c>
      <c r="C5" s="1">
        <v>98.5</v>
      </c>
      <c r="D5" s="1">
        <v>98.8</v>
      </c>
      <c r="E5" s="1">
        <v>99.1</v>
      </c>
      <c r="F5" s="1">
        <v>99.4</v>
      </c>
      <c r="G5" s="1">
        <v>99.7</v>
      </c>
      <c r="H5" s="1">
        <v>100</v>
      </c>
      <c r="I5" s="1">
        <v>100.3</v>
      </c>
      <c r="J5" s="1">
        <v>100.6</v>
      </c>
      <c r="K5" s="1">
        <v>100.9</v>
      </c>
      <c r="L5" s="1">
        <v>101.2</v>
      </c>
      <c r="M5" s="1">
        <v>101.5</v>
      </c>
      <c r="N5" s="1">
        <v>101.8</v>
      </c>
      <c r="O5" s="1">
        <v>102.1</v>
      </c>
      <c r="P5" s="1">
        <v>102.4</v>
      </c>
      <c r="Q5" s="1">
        <v>102.7</v>
      </c>
      <c r="R5" s="1">
        <v>103</v>
      </c>
      <c r="S5" s="1">
        <v>103.3</v>
      </c>
      <c r="T5" s="1">
        <v>103.6</v>
      </c>
      <c r="U5" s="1">
        <v>103.9</v>
      </c>
      <c r="V5" s="1">
        <v>104.2</v>
      </c>
      <c r="W5" s="1">
        <v>104.5</v>
      </c>
      <c r="X5" s="1">
        <v>104.8</v>
      </c>
      <c r="Y5" s="1">
        <v>105.1</v>
      </c>
      <c r="Z5" s="1">
        <v>105.4</v>
      </c>
    </row>
  </sheetData>
  <mergeCells count="2">
    <mergeCell ref="X1:Y1"/>
    <mergeCell ref="V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C680-3272-4638-B3A9-0DAD0445B62B}">
  <dimension ref="A1:AA11"/>
  <sheetViews>
    <sheetView zoomScale="123" workbookViewId="0">
      <selection activeCell="G6" sqref="G6"/>
    </sheetView>
  </sheetViews>
  <sheetFormatPr baseColWidth="10" defaultRowHeight="14.4"/>
  <cols>
    <col min="1" max="1" width="23.109375" bestFit="1" customWidth="1"/>
  </cols>
  <sheetData>
    <row r="1" spans="1:27" s="1" customFormat="1" ht="16.2" customHeight="1">
      <c r="A1" s="23"/>
      <c r="B1" s="2" t="s">
        <v>1</v>
      </c>
      <c r="C1" s="14"/>
      <c r="D1" s="2" t="s">
        <v>2</v>
      </c>
      <c r="E1" s="14"/>
      <c r="F1" s="5" t="s">
        <v>3</v>
      </c>
      <c r="G1" s="14"/>
      <c r="H1" s="2" t="s">
        <v>4</v>
      </c>
      <c r="I1" s="14"/>
      <c r="J1" s="2" t="s">
        <v>5</v>
      </c>
      <c r="K1" s="14"/>
      <c r="L1" s="2" t="s">
        <v>6</v>
      </c>
      <c r="M1" s="14"/>
      <c r="N1" s="2" t="s">
        <v>7</v>
      </c>
      <c r="O1" s="14"/>
      <c r="P1" s="2" t="s">
        <v>8</v>
      </c>
      <c r="Q1" s="14"/>
      <c r="R1" s="2" t="s">
        <v>9</v>
      </c>
      <c r="S1" s="14"/>
      <c r="T1" s="2" t="s">
        <v>10</v>
      </c>
      <c r="U1" s="14"/>
      <c r="V1" s="2" t="s">
        <v>11</v>
      </c>
      <c r="W1" s="14"/>
      <c r="X1" s="2" t="s">
        <v>12</v>
      </c>
      <c r="Y1" s="2"/>
      <c r="Z1" s="2" t="s">
        <v>45</v>
      </c>
      <c r="AA1" s="15"/>
    </row>
    <row r="2" spans="1:27" s="1" customFormat="1" ht="17.55" customHeight="1">
      <c r="A2" s="24" t="s">
        <v>47</v>
      </c>
      <c r="B2" s="3">
        <v>28</v>
      </c>
      <c r="C2" s="4">
        <v>29</v>
      </c>
      <c r="D2" s="5">
        <v>30</v>
      </c>
      <c r="E2" s="5">
        <v>31</v>
      </c>
      <c r="F2" s="5">
        <v>32</v>
      </c>
      <c r="G2" s="5">
        <v>33</v>
      </c>
      <c r="H2" s="5">
        <v>34</v>
      </c>
      <c r="I2" s="5">
        <v>35</v>
      </c>
      <c r="J2" s="5">
        <v>36</v>
      </c>
      <c r="K2" s="5">
        <v>37</v>
      </c>
      <c r="L2" s="5">
        <v>38</v>
      </c>
      <c r="M2" s="5">
        <v>39</v>
      </c>
      <c r="N2" s="5">
        <v>40</v>
      </c>
      <c r="O2" s="5">
        <v>41</v>
      </c>
      <c r="P2" s="5">
        <v>42</v>
      </c>
      <c r="Q2" s="5">
        <v>43</v>
      </c>
      <c r="R2" s="5">
        <v>44</v>
      </c>
      <c r="S2" s="5">
        <v>45</v>
      </c>
      <c r="T2" s="5">
        <v>46</v>
      </c>
      <c r="U2" s="5">
        <v>47</v>
      </c>
      <c r="V2" s="5">
        <v>48</v>
      </c>
      <c r="W2" s="5">
        <v>49</v>
      </c>
      <c r="X2" s="5">
        <v>50</v>
      </c>
      <c r="Y2" s="5">
        <v>51</v>
      </c>
      <c r="Z2" s="5">
        <v>52</v>
      </c>
      <c r="AA2" s="16" t="s">
        <v>48</v>
      </c>
    </row>
    <row r="3" spans="1:27" s="1" customFormat="1" ht="10.8" customHeight="1">
      <c r="A3" s="22" t="s">
        <v>28</v>
      </c>
      <c r="B3" s="17">
        <v>76.099999999999994</v>
      </c>
      <c r="C3" s="17">
        <v>78.7</v>
      </c>
      <c r="D3" s="17">
        <v>81.2</v>
      </c>
      <c r="E3" s="17">
        <v>83.8</v>
      </c>
      <c r="F3" s="17">
        <v>86.3</v>
      </c>
      <c r="G3" s="17">
        <v>88.8</v>
      </c>
      <c r="H3" s="17">
        <v>91.4</v>
      </c>
      <c r="I3" s="17">
        <v>93.9</v>
      </c>
      <c r="J3" s="17">
        <v>96.5</v>
      </c>
      <c r="K3" s="17">
        <v>99</v>
      </c>
      <c r="L3" s="17">
        <v>101.5</v>
      </c>
      <c r="M3" s="17">
        <v>104.1</v>
      </c>
      <c r="N3" s="17">
        <v>106.6</v>
      </c>
      <c r="O3" s="17">
        <v>109.2</v>
      </c>
      <c r="P3" s="17">
        <v>111.7</v>
      </c>
      <c r="Q3" s="17">
        <v>114.2</v>
      </c>
      <c r="R3" s="17">
        <v>116.8</v>
      </c>
      <c r="S3" s="17">
        <v>119.3</v>
      </c>
      <c r="T3" s="17">
        <v>121.9</v>
      </c>
      <c r="U3" s="17">
        <v>124.4</v>
      </c>
      <c r="V3" s="17">
        <v>126.9</v>
      </c>
      <c r="W3" s="17">
        <v>129.5</v>
      </c>
      <c r="X3" s="17">
        <v>132</v>
      </c>
      <c r="Y3" s="17">
        <v>134.6</v>
      </c>
      <c r="Z3" s="17">
        <v>137.1</v>
      </c>
      <c r="AA3" s="18">
        <v>1</v>
      </c>
    </row>
    <row r="4" spans="1:27" s="1" customFormat="1" ht="10.8" customHeight="1">
      <c r="A4" s="22" t="s">
        <v>118</v>
      </c>
      <c r="B4" s="17">
        <v>92.8</v>
      </c>
      <c r="C4" s="17">
        <v>95</v>
      </c>
      <c r="D4" s="17">
        <v>97.2</v>
      </c>
      <c r="E4" s="17">
        <v>99.4</v>
      </c>
      <c r="F4" s="17">
        <v>101.6</v>
      </c>
      <c r="G4" s="17">
        <v>103.8</v>
      </c>
      <c r="H4" s="17">
        <v>106</v>
      </c>
      <c r="I4" s="17">
        <v>108.2</v>
      </c>
      <c r="J4" s="17">
        <v>110.4</v>
      </c>
      <c r="K4" s="17">
        <v>112.6</v>
      </c>
      <c r="L4" s="17">
        <v>114.8</v>
      </c>
      <c r="M4" s="17">
        <v>117</v>
      </c>
      <c r="N4" s="17">
        <v>119.2</v>
      </c>
      <c r="O4" s="17">
        <v>121.4</v>
      </c>
      <c r="P4" s="17">
        <v>123.6</v>
      </c>
      <c r="Q4" s="17">
        <v>125.8</v>
      </c>
      <c r="R4" s="17">
        <v>128</v>
      </c>
      <c r="S4" s="17">
        <v>130.19999999999999</v>
      </c>
      <c r="T4" s="17">
        <v>132.4</v>
      </c>
      <c r="U4" s="17">
        <v>134.6</v>
      </c>
      <c r="V4" s="17">
        <v>136.80000000000001</v>
      </c>
      <c r="W4" s="17">
        <v>139</v>
      </c>
      <c r="X4" s="17">
        <v>141.19999999999999</v>
      </c>
      <c r="Y4" s="17">
        <v>143.4</v>
      </c>
      <c r="Z4" s="17">
        <v>145.6</v>
      </c>
      <c r="AA4" s="18">
        <v>1</v>
      </c>
    </row>
    <row r="5" spans="1:27" s="1" customFormat="1" ht="10.8" customHeight="1">
      <c r="A5" s="22" t="s">
        <v>115</v>
      </c>
      <c r="B5" s="17">
        <v>21.9</v>
      </c>
      <c r="C5" s="17">
        <v>22.2</v>
      </c>
      <c r="D5" s="17">
        <v>22.5</v>
      </c>
      <c r="E5" s="17">
        <v>22.8</v>
      </c>
      <c r="F5" s="17">
        <v>23.1</v>
      </c>
      <c r="G5" s="17">
        <v>23.4</v>
      </c>
      <c r="H5" s="17">
        <v>23.7</v>
      </c>
      <c r="I5" s="17">
        <v>24</v>
      </c>
      <c r="J5" s="17">
        <v>24.3</v>
      </c>
      <c r="K5" s="17">
        <v>24.6</v>
      </c>
      <c r="L5" s="17">
        <v>24.9</v>
      </c>
      <c r="M5" s="17">
        <v>25.2</v>
      </c>
      <c r="N5" s="17">
        <v>25.5</v>
      </c>
      <c r="O5" s="17">
        <v>25.8</v>
      </c>
      <c r="P5" s="17">
        <v>26.1</v>
      </c>
      <c r="Q5" s="17">
        <v>26.4</v>
      </c>
      <c r="R5" s="17">
        <v>26.7</v>
      </c>
      <c r="S5" s="17">
        <v>27</v>
      </c>
      <c r="T5" s="17">
        <v>27.3</v>
      </c>
      <c r="U5" s="17">
        <v>27.6</v>
      </c>
      <c r="V5" s="17">
        <v>27.9</v>
      </c>
      <c r="W5" s="17">
        <v>28.2</v>
      </c>
      <c r="X5" s="17">
        <v>28.5</v>
      </c>
      <c r="Y5" s="17">
        <v>28.8</v>
      </c>
      <c r="Z5" s="17">
        <v>29.1</v>
      </c>
      <c r="AA5" s="18">
        <v>1</v>
      </c>
    </row>
    <row r="6" spans="1:27" s="1" customFormat="1" ht="10.8" customHeight="1">
      <c r="A6" s="22" t="s">
        <v>116</v>
      </c>
      <c r="B6" s="17">
        <v>34.700000000000003</v>
      </c>
      <c r="C6" s="17">
        <v>35</v>
      </c>
      <c r="D6" s="17">
        <v>35.299999999999997</v>
      </c>
      <c r="E6" s="17">
        <v>35.6</v>
      </c>
      <c r="F6" s="17">
        <v>35.9</v>
      </c>
      <c r="G6" s="17">
        <v>36.200000000000003</v>
      </c>
      <c r="H6" s="17">
        <v>36.5</v>
      </c>
      <c r="I6" s="17">
        <v>36.799999999999997</v>
      </c>
      <c r="J6" s="17">
        <v>37.1</v>
      </c>
      <c r="K6" s="17">
        <v>37.4</v>
      </c>
      <c r="L6" s="17">
        <v>37.700000000000003</v>
      </c>
      <c r="M6" s="17">
        <v>38</v>
      </c>
      <c r="N6" s="17">
        <v>38.4</v>
      </c>
      <c r="O6" s="17">
        <v>38.700000000000003</v>
      </c>
      <c r="P6" s="17">
        <v>39</v>
      </c>
      <c r="Q6" s="17">
        <v>39.299999999999997</v>
      </c>
      <c r="R6" s="17">
        <v>39.6</v>
      </c>
      <c r="S6" s="17">
        <v>39.9</v>
      </c>
      <c r="T6" s="17">
        <v>40.299999999999997</v>
      </c>
      <c r="U6" s="17">
        <v>40.6</v>
      </c>
      <c r="V6" s="17">
        <v>40.9</v>
      </c>
      <c r="W6" s="17">
        <v>41.2</v>
      </c>
      <c r="X6" s="17">
        <v>41.5</v>
      </c>
      <c r="Y6" s="17">
        <v>41.8</v>
      </c>
      <c r="Z6" s="17">
        <v>42.1</v>
      </c>
      <c r="AA6" s="18">
        <v>1</v>
      </c>
    </row>
    <row r="7" spans="1:27" s="1" customFormat="1" ht="10.8" customHeight="1">
      <c r="A7" s="22" t="s">
        <v>135</v>
      </c>
      <c r="B7" s="17">
        <v>59.1</v>
      </c>
      <c r="C7" s="17">
        <v>60.2</v>
      </c>
      <c r="D7" s="17">
        <v>61.3</v>
      </c>
      <c r="E7" s="17">
        <v>62.4</v>
      </c>
      <c r="F7" s="17">
        <v>63.5</v>
      </c>
      <c r="G7" s="17">
        <v>64.599999999999994</v>
      </c>
      <c r="H7" s="17">
        <v>65.7</v>
      </c>
      <c r="I7" s="17">
        <v>66.8</v>
      </c>
      <c r="J7" s="17">
        <v>67.900000000000006</v>
      </c>
      <c r="K7" s="17">
        <v>69</v>
      </c>
      <c r="L7" s="17">
        <v>70.099999999999994</v>
      </c>
      <c r="M7" s="17">
        <v>71.2</v>
      </c>
      <c r="N7" s="17">
        <v>72.3</v>
      </c>
      <c r="O7" s="17">
        <v>73.400000000000006</v>
      </c>
      <c r="P7" s="17">
        <v>74.5</v>
      </c>
      <c r="Q7" s="17">
        <v>75.599999999999994</v>
      </c>
      <c r="R7" s="17">
        <v>76.7</v>
      </c>
      <c r="S7" s="17">
        <v>77.8</v>
      </c>
      <c r="T7" s="17">
        <v>78.900000000000006</v>
      </c>
      <c r="U7" s="17">
        <v>80</v>
      </c>
      <c r="V7" s="17">
        <v>81.099999999999994</v>
      </c>
      <c r="W7" s="17">
        <v>82.2</v>
      </c>
      <c r="X7" s="17">
        <v>83.3</v>
      </c>
      <c r="Y7" s="17">
        <v>84.4</v>
      </c>
      <c r="Z7" s="17">
        <v>85.5</v>
      </c>
      <c r="AA7" s="18">
        <v>1</v>
      </c>
    </row>
    <row r="8" spans="1:27" s="1" customFormat="1" ht="10.8" customHeight="1">
      <c r="A8" s="22" t="s">
        <v>136</v>
      </c>
      <c r="B8" s="17">
        <v>42.5</v>
      </c>
      <c r="C8" s="17">
        <v>43.2</v>
      </c>
      <c r="D8" s="17">
        <v>43.8</v>
      </c>
      <c r="E8" s="17">
        <v>44.4</v>
      </c>
      <c r="F8" s="17">
        <v>45.1</v>
      </c>
      <c r="G8" s="17">
        <v>45.7</v>
      </c>
      <c r="H8" s="17">
        <v>46.4</v>
      </c>
      <c r="I8" s="17">
        <v>47</v>
      </c>
      <c r="J8" s="17">
        <v>47.6</v>
      </c>
      <c r="K8" s="17">
        <v>48.3</v>
      </c>
      <c r="L8" s="17">
        <v>48.9</v>
      </c>
      <c r="M8" s="17">
        <v>49.5</v>
      </c>
      <c r="N8" s="17">
        <v>50.2</v>
      </c>
      <c r="O8" s="17">
        <v>50.8</v>
      </c>
      <c r="P8" s="17">
        <v>51.4</v>
      </c>
      <c r="Q8" s="17">
        <v>52.1</v>
      </c>
      <c r="R8" s="17">
        <v>52.7</v>
      </c>
      <c r="S8" s="17">
        <v>53.3</v>
      </c>
      <c r="T8" s="17">
        <v>54</v>
      </c>
      <c r="U8" s="17">
        <v>54.6</v>
      </c>
      <c r="V8" s="17">
        <v>55.2</v>
      </c>
      <c r="W8" s="17">
        <v>55.9</v>
      </c>
      <c r="X8" s="17">
        <v>56.5</v>
      </c>
      <c r="Y8" s="17">
        <v>57.1</v>
      </c>
      <c r="Z8" s="17">
        <v>57.8</v>
      </c>
      <c r="AA8" s="18">
        <v>1</v>
      </c>
    </row>
    <row r="9" spans="1:27" s="1" customFormat="1" ht="10.8" customHeight="1">
      <c r="A9" s="22" t="s">
        <v>137</v>
      </c>
      <c r="B9" s="17">
        <v>42.5</v>
      </c>
      <c r="C9" s="17">
        <v>41.9</v>
      </c>
      <c r="D9" s="17">
        <v>41.3</v>
      </c>
      <c r="E9" s="17">
        <v>40.6</v>
      </c>
      <c r="F9" s="17">
        <v>40</v>
      </c>
      <c r="G9" s="17">
        <v>40.6</v>
      </c>
      <c r="H9" s="17">
        <v>41.3</v>
      </c>
      <c r="I9" s="17">
        <v>41.9</v>
      </c>
      <c r="J9" s="17">
        <v>42.5</v>
      </c>
      <c r="K9" s="17">
        <v>43.2</v>
      </c>
      <c r="L9" s="17">
        <v>43.8</v>
      </c>
      <c r="M9" s="17">
        <v>44.4</v>
      </c>
      <c r="N9" s="17">
        <v>45.1</v>
      </c>
      <c r="O9" s="17">
        <v>45.7</v>
      </c>
      <c r="P9" s="17">
        <v>46.4</v>
      </c>
      <c r="Q9" s="17">
        <v>47</v>
      </c>
      <c r="R9" s="17">
        <v>47.6</v>
      </c>
      <c r="S9" s="17">
        <v>48.3</v>
      </c>
      <c r="T9" s="17">
        <v>48.9</v>
      </c>
      <c r="U9" s="17">
        <v>49.5</v>
      </c>
      <c r="V9" s="17">
        <v>50.2</v>
      </c>
      <c r="W9" s="17">
        <v>50.8</v>
      </c>
      <c r="X9" s="17">
        <v>51.4</v>
      </c>
      <c r="Y9" s="17">
        <v>52.1</v>
      </c>
      <c r="Z9" s="17">
        <v>52.7</v>
      </c>
      <c r="AA9" s="18">
        <v>1</v>
      </c>
    </row>
    <row r="10" spans="1:27" s="1" customFormat="1" ht="10.8" customHeight="1">
      <c r="A10" s="22" t="s">
        <v>134</v>
      </c>
      <c r="B10" s="17">
        <v>98.2</v>
      </c>
      <c r="C10" s="17">
        <v>98.5</v>
      </c>
      <c r="D10" s="17">
        <v>98.8</v>
      </c>
      <c r="E10" s="17">
        <v>99.1</v>
      </c>
      <c r="F10" s="17">
        <v>99.4</v>
      </c>
      <c r="G10" s="17">
        <v>99.7</v>
      </c>
      <c r="H10" s="17">
        <v>100</v>
      </c>
      <c r="I10" s="17">
        <v>100.3</v>
      </c>
      <c r="J10" s="17">
        <v>100.6</v>
      </c>
      <c r="K10" s="17">
        <v>100.9</v>
      </c>
      <c r="L10" s="17">
        <v>101.2</v>
      </c>
      <c r="M10" s="17">
        <v>101.5</v>
      </c>
      <c r="N10" s="17">
        <v>101.8</v>
      </c>
      <c r="O10" s="17">
        <v>102.1</v>
      </c>
      <c r="P10" s="17">
        <v>102.4</v>
      </c>
      <c r="Q10" s="17">
        <v>102.7</v>
      </c>
      <c r="R10" s="17">
        <v>103</v>
      </c>
      <c r="S10" s="17">
        <v>103.3</v>
      </c>
      <c r="T10" s="17">
        <v>103.6</v>
      </c>
      <c r="U10" s="17">
        <v>103.9</v>
      </c>
      <c r="V10" s="17">
        <v>104.2</v>
      </c>
      <c r="W10" s="17">
        <v>104.5</v>
      </c>
      <c r="X10" s="17">
        <v>104.8</v>
      </c>
      <c r="Y10" s="17">
        <v>105.1</v>
      </c>
      <c r="Z10" s="17">
        <v>105.4</v>
      </c>
      <c r="AA10" s="18">
        <v>1.5</v>
      </c>
    </row>
    <row r="11" spans="1:27" s="1" customFormat="1" ht="10.8" customHeight="1">
      <c r="A11" s="22" t="s">
        <v>117</v>
      </c>
      <c r="B11" s="17">
        <v>13</v>
      </c>
      <c r="C11" s="17">
        <v>13</v>
      </c>
      <c r="D11" s="17">
        <v>13</v>
      </c>
      <c r="E11" s="17">
        <v>14</v>
      </c>
      <c r="F11" s="17">
        <v>14</v>
      </c>
      <c r="G11" s="17">
        <v>14</v>
      </c>
      <c r="H11" s="17">
        <v>14</v>
      </c>
      <c r="I11" s="17">
        <v>15</v>
      </c>
      <c r="J11" s="17">
        <v>15</v>
      </c>
      <c r="K11" s="17">
        <v>15</v>
      </c>
      <c r="L11" s="17">
        <v>15</v>
      </c>
      <c r="M11" s="17">
        <v>16</v>
      </c>
      <c r="N11" s="17">
        <v>17</v>
      </c>
      <c r="O11" s="17">
        <v>17</v>
      </c>
      <c r="P11" s="17">
        <v>17</v>
      </c>
      <c r="Q11" s="17">
        <v>17</v>
      </c>
      <c r="R11" s="17">
        <v>18</v>
      </c>
      <c r="S11" s="17">
        <v>18</v>
      </c>
      <c r="T11" s="17">
        <v>18</v>
      </c>
      <c r="U11" s="17">
        <v>18</v>
      </c>
      <c r="V11" s="17">
        <v>19</v>
      </c>
      <c r="W11" s="17">
        <v>19</v>
      </c>
      <c r="X11" s="17">
        <v>19</v>
      </c>
      <c r="Y11" s="17">
        <v>19</v>
      </c>
      <c r="Z11" s="17">
        <v>20</v>
      </c>
      <c r="AA11" s="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DD5A-7E67-4E96-B131-5C5D934EC894}">
  <dimension ref="A1:AB9"/>
  <sheetViews>
    <sheetView workbookViewId="0">
      <selection activeCell="C17" sqref="C17"/>
    </sheetView>
  </sheetViews>
  <sheetFormatPr baseColWidth="10" defaultRowHeight="14.4"/>
  <cols>
    <col min="1" max="1" width="19.77734375" bestFit="1" customWidth="1"/>
    <col min="2" max="3" width="12" bestFit="1" customWidth="1"/>
  </cols>
  <sheetData>
    <row r="1" spans="1:28">
      <c r="A1" s="1"/>
      <c r="B1" s="8" t="s">
        <v>32</v>
      </c>
      <c r="C1" s="7" t="s">
        <v>33</v>
      </c>
      <c r="D1" s="8" t="s">
        <v>34</v>
      </c>
      <c r="E1" s="7" t="s">
        <v>35</v>
      </c>
      <c r="F1" s="8" t="s">
        <v>36</v>
      </c>
      <c r="G1" s="7" t="s">
        <v>37</v>
      </c>
      <c r="H1" s="8" t="s">
        <v>38</v>
      </c>
      <c r="I1" s="7" t="s">
        <v>39</v>
      </c>
      <c r="J1" s="8" t="s">
        <v>40</v>
      </c>
      <c r="K1" s="7" t="s">
        <v>41</v>
      </c>
      <c r="L1" s="8" t="s">
        <v>42</v>
      </c>
      <c r="M1" s="7" t="s">
        <v>43</v>
      </c>
      <c r="N1" s="8" t="s">
        <v>133</v>
      </c>
    </row>
    <row r="2" spans="1:28">
      <c r="A2" s="1"/>
      <c r="B2" s="31">
        <v>14</v>
      </c>
      <c r="C2" s="32">
        <v>14.5</v>
      </c>
      <c r="D2" s="32">
        <v>15</v>
      </c>
      <c r="E2" s="32">
        <v>15.5</v>
      </c>
      <c r="F2" s="32">
        <v>16</v>
      </c>
      <c r="G2" s="32">
        <v>16.5</v>
      </c>
      <c r="H2" s="32">
        <v>17</v>
      </c>
      <c r="I2" s="32">
        <v>17.5</v>
      </c>
      <c r="J2" s="32">
        <v>18</v>
      </c>
      <c r="K2" s="32">
        <v>18.5</v>
      </c>
      <c r="L2" s="32">
        <v>19</v>
      </c>
      <c r="M2" s="32">
        <v>19.5</v>
      </c>
      <c r="N2" s="32">
        <v>20</v>
      </c>
    </row>
    <row r="3" spans="1:28">
      <c r="A3" s="6" t="s">
        <v>119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</row>
    <row r="4" spans="1:28">
      <c r="A4" s="3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8">
      <c r="B5" s="8" t="s">
        <v>32</v>
      </c>
      <c r="C5" s="7" t="s">
        <v>33</v>
      </c>
      <c r="D5" s="8" t="s">
        <v>34</v>
      </c>
      <c r="E5" s="7" t="s">
        <v>35</v>
      </c>
      <c r="F5" s="8" t="s">
        <v>36</v>
      </c>
      <c r="G5" s="7" t="s">
        <v>37</v>
      </c>
      <c r="H5" s="8" t="s">
        <v>38</v>
      </c>
      <c r="I5" s="7" t="s">
        <v>39</v>
      </c>
      <c r="J5" s="8" t="s">
        <v>40</v>
      </c>
      <c r="K5" s="7" t="s">
        <v>41</v>
      </c>
      <c r="L5" s="8" t="s">
        <v>42</v>
      </c>
      <c r="M5" s="7" t="s">
        <v>43</v>
      </c>
      <c r="N5" s="8" t="s">
        <v>133</v>
      </c>
    </row>
    <row r="6" spans="1:28">
      <c r="B6" s="31">
        <v>14</v>
      </c>
      <c r="C6" s="32">
        <v>14.5</v>
      </c>
      <c r="D6" s="32">
        <v>15</v>
      </c>
      <c r="E6" s="32">
        <v>15.5</v>
      </c>
      <c r="F6" s="32">
        <v>16</v>
      </c>
      <c r="G6" s="32">
        <v>16.5</v>
      </c>
      <c r="H6" s="32">
        <v>17</v>
      </c>
      <c r="I6" s="32">
        <v>17.5</v>
      </c>
      <c r="J6" s="32">
        <v>18</v>
      </c>
      <c r="K6" s="32">
        <v>18.5</v>
      </c>
      <c r="L6" s="32">
        <v>19</v>
      </c>
      <c r="M6" s="32">
        <v>19.5</v>
      </c>
      <c r="N6" s="32">
        <v>20</v>
      </c>
    </row>
    <row r="7" spans="1:28">
      <c r="A7" s="6" t="s">
        <v>63</v>
      </c>
      <c r="B7" s="45" t="s">
        <v>243</v>
      </c>
      <c r="C7" s="45" t="s">
        <v>244</v>
      </c>
      <c r="D7" s="45" t="s">
        <v>245</v>
      </c>
      <c r="E7" s="45" t="s">
        <v>246</v>
      </c>
      <c r="F7" s="45" t="s">
        <v>247</v>
      </c>
      <c r="G7" s="45" t="s">
        <v>248</v>
      </c>
      <c r="H7" s="45" t="s">
        <v>249</v>
      </c>
      <c r="I7" s="45" t="s">
        <v>250</v>
      </c>
      <c r="J7" s="45" t="s">
        <v>251</v>
      </c>
      <c r="K7" s="45" t="s">
        <v>201</v>
      </c>
      <c r="L7" s="45" t="s">
        <v>252</v>
      </c>
      <c r="M7" s="45" t="s">
        <v>253</v>
      </c>
      <c r="N7" s="45" t="s">
        <v>254</v>
      </c>
      <c r="O7" s="45" t="s">
        <v>255</v>
      </c>
      <c r="P7" s="45" t="s">
        <v>256</v>
      </c>
      <c r="Q7" s="45" t="s">
        <v>257</v>
      </c>
      <c r="R7" s="45" t="s">
        <v>258</v>
      </c>
      <c r="S7" s="45" t="s">
        <v>259</v>
      </c>
      <c r="T7" s="45" t="s">
        <v>260</v>
      </c>
      <c r="U7" s="45" t="s">
        <v>261</v>
      </c>
      <c r="V7" s="45" t="s">
        <v>262</v>
      </c>
      <c r="W7" s="45" t="s">
        <v>263</v>
      </c>
      <c r="X7" s="45" t="s">
        <v>264</v>
      </c>
      <c r="Y7" s="45" t="s">
        <v>265</v>
      </c>
      <c r="Z7" s="45" t="s">
        <v>266</v>
      </c>
      <c r="AA7" s="45" t="s">
        <v>267</v>
      </c>
      <c r="AB7" s="45" t="s">
        <v>268</v>
      </c>
    </row>
    <row r="8" spans="1:28">
      <c r="A8" s="6" t="s">
        <v>28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28">
      <c r="A9" s="6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FAB4-5A2F-451C-B73C-D02CD2B17815}">
  <dimension ref="A1:O13"/>
  <sheetViews>
    <sheetView workbookViewId="0">
      <selection activeCell="B1" sqref="B1:O2"/>
    </sheetView>
  </sheetViews>
  <sheetFormatPr baseColWidth="10" defaultRowHeight="14.4"/>
  <cols>
    <col min="1" max="1" width="25.109375" bestFit="1" customWidth="1"/>
  </cols>
  <sheetData>
    <row r="1" spans="1:15" s="1" customFormat="1" ht="16.2" customHeight="1">
      <c r="A1" s="23"/>
      <c r="B1" s="29" t="s">
        <v>132</v>
      </c>
      <c r="C1" s="29" t="s">
        <v>32</v>
      </c>
      <c r="D1" s="29" t="s">
        <v>33</v>
      </c>
      <c r="E1" s="29" t="s">
        <v>34</v>
      </c>
      <c r="F1" s="29" t="s">
        <v>35</v>
      </c>
      <c r="G1" s="29" t="s">
        <v>36</v>
      </c>
      <c r="H1" s="29" t="s">
        <v>37</v>
      </c>
      <c r="I1" s="29" t="s">
        <v>38</v>
      </c>
      <c r="J1" s="29" t="s">
        <v>39</v>
      </c>
      <c r="K1" s="29" t="s">
        <v>40</v>
      </c>
      <c r="L1" s="29" t="s">
        <v>41</v>
      </c>
      <c r="M1" s="29" t="s">
        <v>42</v>
      </c>
      <c r="N1" s="29" t="s">
        <v>43</v>
      </c>
      <c r="O1" s="29" t="s">
        <v>133</v>
      </c>
    </row>
    <row r="2" spans="1:15" s="1" customFormat="1" ht="17.55" customHeight="1">
      <c r="A2" s="25" t="s">
        <v>131</v>
      </c>
      <c r="B2" s="26">
        <v>13.5</v>
      </c>
      <c r="C2" s="27">
        <v>14</v>
      </c>
      <c r="D2" s="28">
        <v>14.5</v>
      </c>
      <c r="E2" s="28">
        <v>15</v>
      </c>
      <c r="F2" s="28">
        <v>15.5</v>
      </c>
      <c r="G2" s="28">
        <v>16</v>
      </c>
      <c r="H2" s="28">
        <v>16.5</v>
      </c>
      <c r="I2" s="28">
        <v>17</v>
      </c>
      <c r="J2" s="28">
        <v>17.5</v>
      </c>
      <c r="K2" s="28">
        <v>18</v>
      </c>
      <c r="L2" s="28">
        <v>18.5</v>
      </c>
      <c r="M2" s="28">
        <v>19</v>
      </c>
      <c r="N2" s="28">
        <v>19.5</v>
      </c>
      <c r="O2" s="28">
        <v>20</v>
      </c>
    </row>
    <row r="3" spans="1:15" s="1" customFormat="1">
      <c r="A3" s="30" t="s">
        <v>120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s="1" customFormat="1">
      <c r="A4" s="30" t="s">
        <v>121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s="1" customFormat="1">
      <c r="A5" s="30" t="s">
        <v>122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s="1" customFormat="1">
      <c r="A6" s="30" t="s">
        <v>123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s="1" customFormat="1">
      <c r="A7" s="30" t="s">
        <v>124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s="1" customFormat="1">
      <c r="A8" s="30" t="s">
        <v>125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s="1" customFormat="1">
      <c r="A9" s="30" t="s">
        <v>126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s="1" customFormat="1">
      <c r="A10" s="30" t="s">
        <v>127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s="1" customFormat="1">
      <c r="A11" s="30" t="s">
        <v>128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s="1" customFormat="1">
      <c r="A12" s="30" t="s">
        <v>129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>
      <c r="A13" s="30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SACO_C</vt:lpstr>
      <vt:lpstr>SACO_P</vt:lpstr>
      <vt:lpstr>PULLOVER_C</vt:lpstr>
      <vt:lpstr>PULLOVER_P</vt:lpstr>
      <vt:lpstr>PANTALON_C</vt:lpstr>
      <vt:lpstr>PANTALON_P</vt:lpstr>
      <vt:lpstr>CAMISA_C</vt:lpstr>
      <vt:lpstr>CAMISA_P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Enrique Rodriguez Teran</dc:creator>
  <cp:lastModifiedBy>Carlos Enrique Rodriguez Teran</cp:lastModifiedBy>
  <dcterms:created xsi:type="dcterms:W3CDTF">2026-04-07T13:49:21Z</dcterms:created>
  <dcterms:modified xsi:type="dcterms:W3CDTF">2026-04-07T22:12:43Z</dcterms:modified>
</cp:coreProperties>
</file>